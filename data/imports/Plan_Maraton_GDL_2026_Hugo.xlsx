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hugoaguayo/Desktop/"/>
    </mc:Choice>
  </mc:AlternateContent>
  <xr:revisionPtr revIDLastSave="0" documentId="8_{F970F0D8-A4B8-534E-810D-6B114C93129F}" xr6:coauthVersionLast="47" xr6:coauthVersionMax="47" xr10:uidLastSave="{00000000-0000-0000-0000-000000000000}"/>
  <bookViews>
    <workbookView xWindow="0" yWindow="0" windowWidth="35840" windowHeight="22400" activeTab="1" xr2:uid="{00000000-000D-0000-FFFF-FFFF00000000}"/>
  </bookViews>
  <sheets>
    <sheet name="Resumen" sheetId="1" r:id="rId1"/>
    <sheet name="Plan diario" sheetId="2" r:id="rId2"/>
    <sheet name="Guía de ritmos" sheetId="3" r:id="rId3"/>
    <sheet name="Gimnas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C16" i="1"/>
  <c r="C15" i="1"/>
  <c r="C14" i="1"/>
  <c r="C13" i="1"/>
</calcChain>
</file>

<file path=xl/sharedStrings.xml><?xml version="1.0" encoding="utf-8"?>
<sst xmlns="http://schemas.openxmlformats.org/spreadsheetml/2006/main" count="928" uniqueCount="402">
  <si>
    <t>PLAN MARATÓN GDL · 8 NOVIEMBRE 2026</t>
  </si>
  <si>
    <t>Perfil</t>
  </si>
  <si>
    <t>Dato</t>
  </si>
  <si>
    <t>Regla clave</t>
  </si>
  <si>
    <t>Descripción</t>
  </si>
  <si>
    <t>Edad</t>
  </si>
  <si>
    <t>Ritmos</t>
  </si>
  <si>
    <t>Rangos orientativos; manda RPE y conversación.</t>
  </si>
  <si>
    <t>Sexo</t>
  </si>
  <si>
    <t>Hombre</t>
  </si>
  <si>
    <t>Dolor</t>
  </si>
  <si>
    <t>Dolor localizado que cambia la zancada = detener sesión.</t>
  </si>
  <si>
    <t>Peso</t>
  </si>
  <si>
    <t>80 kg</t>
  </si>
  <si>
    <t>Fatiga</t>
  </si>
  <si>
    <t>No recuperar kilómetros perdidos en otro día.</t>
  </si>
  <si>
    <t>Experiencia</t>
  </si>
  <si>
    <t>No empieza de cero; primer maratón</t>
  </si>
  <si>
    <t>Largas</t>
  </si>
  <si>
    <t>No convertirlas en carrera; practicar alimentación.</t>
  </si>
  <si>
    <t>Prioridad</t>
  </si>
  <si>
    <t>Terminar bien y sin lesiones</t>
  </si>
  <si>
    <t>Taper</t>
  </si>
  <si>
    <t>Bajar volumen para llegar fresco.</t>
  </si>
  <si>
    <t>Semana</t>
  </si>
  <si>
    <t>Fechas</t>
  </si>
  <si>
    <t>Km planificados</t>
  </si>
  <si>
    <t>Tirada principal (km)</t>
  </si>
  <si>
    <t>07/09–13/09</t>
  </si>
  <si>
    <t>14/09–20/09</t>
  </si>
  <si>
    <t>21/09–27/09</t>
  </si>
  <si>
    <t>28/09–04/10</t>
  </si>
  <si>
    <t>05/10–11/10</t>
  </si>
  <si>
    <t>12/10–18/10</t>
  </si>
  <si>
    <t>19/10–25/10</t>
  </si>
  <si>
    <t>26/10–01/11</t>
  </si>
  <si>
    <t>02/11–08/11</t>
  </si>
  <si>
    <t>SEMÁFORO DE DOLOR / FATIGA</t>
  </si>
  <si>
    <t>Verde</t>
  </si>
  <si>
    <t>Dolor 0–2/10; zancada normal.</t>
  </si>
  <si>
    <t>Haz la sesión según plan.</t>
  </si>
  <si>
    <t>Amarillo</t>
  </si>
  <si>
    <t>Fatiga alta o molestia 3–4/10 que no empeora.</t>
  </si>
  <si>
    <t>Reduce 20–30% o cambia calidad por suave.</t>
  </si>
  <si>
    <t>Rojo</t>
  </si>
  <si>
    <t>Dolor agudo/localizado o cambia la zancada.</t>
  </si>
  <si>
    <t>Detén la sesión; no compenses kilómetros.</t>
  </si>
  <si>
    <t>Nota</t>
  </si>
  <si>
    <t>Si el dolor persiste, conviene valoración profesional.</t>
  </si>
  <si>
    <t>Fecha</t>
  </si>
  <si>
    <t>Día</t>
  </si>
  <si>
    <t>Sesión</t>
  </si>
  <si>
    <t>Km</t>
  </si>
  <si>
    <t>Ritmo objetivo</t>
  </si>
  <si>
    <t>Tiempo estimado (min)</t>
  </si>
  <si>
    <t>RPE</t>
  </si>
  <si>
    <t>Calentamiento</t>
  </si>
  <si>
    <t>Trabajo principal</t>
  </si>
  <si>
    <t>Enfriamiento</t>
  </si>
  <si>
    <t>Gimnasio / fuerza</t>
  </si>
  <si>
    <t>Nutrición / hidratación</t>
  </si>
  <si>
    <t>Recuperación / notas</t>
  </si>
  <si>
    <t>Estado</t>
  </si>
  <si>
    <t>Km reales</t>
  </si>
  <si>
    <t>Pace real</t>
  </si>
  <si>
    <t>RPE real</t>
  </si>
  <si>
    <t>Dolor 0–10</t>
  </si>
  <si>
    <t>Lunes</t>
  </si>
  <si>
    <t>Descanso + movilidad</t>
  </si>
  <si>
    <t>—</t>
  </si>
  <si>
    <t>RPE 0–1</t>
  </si>
  <si>
    <t>Movilidad 10 min.</t>
  </si>
  <si>
    <t>Normal.</t>
  </si>
  <si>
    <t>Pendiente</t>
  </si>
  <si>
    <t>Martes</t>
  </si>
  <si>
    <t>Suave + gimnasio A</t>
  </si>
  <si>
    <t>6:15–6:40/km</t>
  </si>
  <si>
    <t>RPE 3</t>
  </si>
  <si>
    <t>3–5 min caminata.</t>
  </si>
  <si>
    <t>Agua; comida normal.</t>
  </si>
  <si>
    <t>Miércoles</t>
  </si>
  <si>
    <t>Suave + strides</t>
  </si>
  <si>
    <t>RPE 3; strides 7–8</t>
  </si>
  <si>
    <t>Primer km especialmente fácil.</t>
  </si>
  <si>
    <t>5 min muy suave.</t>
  </si>
  <si>
    <t>Agua.</t>
  </si>
  <si>
    <t>Jueves</t>
  </si>
  <si>
    <t>RPE 4–5</t>
  </si>
  <si>
    <t>Movilidad 5–10 min.</t>
  </si>
  <si>
    <t>Gimnasio B 35–40 min, 2–3 RIR.</t>
  </si>
  <si>
    <t>Viernes</t>
  </si>
  <si>
    <t>Recuperación</t>
  </si>
  <si>
    <t>6:30–7:00/km</t>
  </si>
  <si>
    <t>RPE 2–3</t>
  </si>
  <si>
    <t>5 min suave.</t>
  </si>
  <si>
    <t>Sábado</t>
  </si>
  <si>
    <t>Descanso</t>
  </si>
  <si>
    <t>RPE 0</t>
  </si>
  <si>
    <t>Cena normal con carbohidratos.</t>
  </si>
  <si>
    <t>Prioriza sueño.</t>
  </si>
  <si>
    <t>Domingo</t>
  </si>
  <si>
    <t>Tirada larga</t>
  </si>
  <si>
    <t>6:20–6:45/km</t>
  </si>
  <si>
    <t>RPE 3–4</t>
  </si>
  <si>
    <t>5–10 min caminata.</t>
  </si>
  <si>
    <t>5–8 min suave.</t>
  </si>
  <si>
    <t>7 km cómodos.</t>
  </si>
  <si>
    <t>Gimnasio A 35–45 min, 2–3 RIR.</t>
  </si>
  <si>
    <t>No llegar al fallo.</t>
  </si>
  <si>
    <t>Tempo controlado</t>
  </si>
  <si>
    <t>5:40–5:55/km</t>
  </si>
  <si>
    <t>RPE 3→6→3</t>
  </si>
  <si>
    <t>Incluido en los 2.5 km iniciales.</t>
  </si>
  <si>
    <t>Incluido en los 2.5 km finales.</t>
  </si>
  <si>
    <t>Agua; con calor, lleva líquido.</t>
  </si>
  <si>
    <t>Gimnasio B</t>
  </si>
  <si>
    <t>5–8 min bici/trote.</t>
  </si>
  <si>
    <t>Sin carrera.</t>
  </si>
  <si>
    <t>Movilidad 5 min.</t>
  </si>
  <si>
    <t>Reduce carga si el tempo dejó fatiga.</t>
  </si>
  <si>
    <t>5 km muy fáciles.</t>
  </si>
  <si>
    <t>Usa el extremo lento si hay pesadez.</t>
  </si>
  <si>
    <t>Descanso.</t>
  </si>
  <si>
    <t>Dormir bien.</t>
  </si>
  <si>
    <t>5–10 min suave.</t>
  </si>
  <si>
    <t>Primeros 5 km a 6:30–6:45; después 6:20–6:40. Sin cierre rápido.</t>
  </si>
  <si>
    <t>40–60 g carbohidrato/h. Repite desayuno y geles tolerados.</t>
  </si>
  <si>
    <t>Comida con carbohidrato + proteína y líquidos.</t>
  </si>
  <si>
    <t>Movilidad opcional.</t>
  </si>
  <si>
    <t>Dolor localizado &gt;3/10: no forzar.</t>
  </si>
  <si>
    <t>8 km suaves.</t>
  </si>
  <si>
    <t>Gimnasio A 35–40 min; no aumentes cargas.</t>
  </si>
  <si>
    <t>Progresivo controlado</t>
  </si>
  <si>
    <t>RPE 3–5</t>
  </si>
  <si>
    <t>Primer km fácil.</t>
  </si>
  <si>
    <t>Km 1–6: 6:20–6:40. Km 7–10: 6:05–6:20 SOLO si estás fresco; si no, todo suave.</t>
  </si>
  <si>
    <t>Últimos minutos suaves.</t>
  </si>
  <si>
    <t>No convertir el cierre en tempo.</t>
  </si>
  <si>
    <t>Gimnasio B ligero</t>
  </si>
  <si>
    <t>RPE 4</t>
  </si>
  <si>
    <t>5 min bici.</t>
  </si>
  <si>
    <t>Llegar fresco a la larga.</t>
  </si>
  <si>
    <t>5 km cómodos.</t>
  </si>
  <si>
    <t>Si hace falta, 4 km.</t>
  </si>
  <si>
    <t>Carbohidratos normales/altos; hidrátate.</t>
  </si>
  <si>
    <t>Evita muchas horas de pie.</t>
  </si>
  <si>
    <t>6:25–6:45 al inicio; luego 6:20–6:40. No acelerar por sentirte bien.</t>
  </si>
  <si>
    <t>50–60 g carbohidrato/h; practica geles y líquidos.</t>
  </si>
  <si>
    <t>SEMANA DE DESCARGA: aquí asimilas el trabajo.</t>
  </si>
  <si>
    <t>Movilidad suave.</t>
  </si>
  <si>
    <t>No compensar kilómetros.</t>
  </si>
  <si>
    <t>Suave</t>
  </si>
  <si>
    <t>6 km cómodos.</t>
  </si>
  <si>
    <t>Debe sentirse fácil.</t>
  </si>
  <si>
    <t>8 km suaves + 4 × 20 s strides; 60–90 s recuperación.</t>
  </si>
  <si>
    <t>Strides relajados.</t>
  </si>
  <si>
    <t>Gimnasio ligero</t>
  </si>
  <si>
    <t>25–30 min; 2 series; 3–4 RIR.</t>
  </si>
  <si>
    <t>Sin agujetas importantes.</t>
  </si>
  <si>
    <t>5 km tranquilos.</t>
  </si>
  <si>
    <t>Baja a 4 km si te notas cansado.</t>
  </si>
  <si>
    <t>Larga de descarga</t>
  </si>
  <si>
    <t>18 km fáciles, sin segmentos rápidos. Termina con reserva.</t>
  </si>
  <si>
    <t>40–50 g carbohidrato/h; sigue practicando hidratación.</t>
  </si>
  <si>
    <t>No es examen.</t>
  </si>
  <si>
    <t>Chequeo de molestias.</t>
  </si>
  <si>
    <t>Gimnasio A 30–40 min; 2–3 RIR.</t>
  </si>
  <si>
    <t>No subir pesos.</t>
  </si>
  <si>
    <t>Incluido.</t>
  </si>
  <si>
    <t>3 km suave + 4 km a 5:40–5:55 + 3 km suave.</t>
  </si>
  <si>
    <t>Agua; carbohidrato previo si llevas horas sin comer.</t>
  </si>
  <si>
    <t>No pasar de RPE 6–7.</t>
  </si>
  <si>
    <t>Sin gimnasio de piernas pesado.</t>
  </si>
  <si>
    <t>Movilidad 10–15 min.</t>
  </si>
  <si>
    <t>Preparar piernas para 27 km.</t>
  </si>
  <si>
    <t>6 km muy cómodos.</t>
  </si>
  <si>
    <t>Si hay fatiga, 5 km.</t>
  </si>
  <si>
    <t>Comidas conocidas; no experimentar.</t>
  </si>
  <si>
    <t>Tirada larga específica</t>
  </si>
  <si>
    <t>Km 1–20: 6:20–6:45. Km 21–25: 6:05–6:20 SOLO si RPE ≤4 y sin dolor. Últimos 2 km suaves. Si no estás fresco, todo fácil.</t>
  </si>
  <si>
    <t>50–70 g carbohidrato/h si ya toleras 50–60; practica lo de carrera.</t>
  </si>
  <si>
    <t>Nada de récord; prioridad: absorber la sesión.</t>
  </si>
  <si>
    <t>Descanso total</t>
  </si>
  <si>
    <t>SEMANA PICO.</t>
  </si>
  <si>
    <t>7 km fáciles.</t>
  </si>
  <si>
    <t>Nada heroico.</t>
  </si>
  <si>
    <t>Ritmo maratón controlado</t>
  </si>
  <si>
    <t>6:05–6:20/km</t>
  </si>
  <si>
    <t>RPE 3→4–5→3</t>
  </si>
  <si>
    <t>2 km suave + 5 km a 6:05–6:20 + 2 km suave. Si 6:05 exige demasiado, usa 6:15–6:25.</t>
  </si>
  <si>
    <t>Controlado.</t>
  </si>
  <si>
    <t>Gimnasio muy ligero</t>
  </si>
  <si>
    <t>Solo mantenimiento; si hay fatiga muscular, cambia por movilidad.</t>
  </si>
  <si>
    <t>20–25 min; 2 series; 4 RIR; sin sentadilla pesada.</t>
  </si>
  <si>
    <t>Salir fresco.</t>
  </si>
  <si>
    <t>Si hay fatiga, 4 km.</t>
  </si>
  <si>
    <t>Organiza el ensayo general.</t>
  </si>
  <si>
    <t>Comidas conocidas y carbohidratos suficientes.</t>
  </si>
  <si>
    <t>Tirada pico / ensayo general</t>
  </si>
  <si>
    <t>Km 1–5: 6:30–6:45. Km 6–25: 6:20–6:40. Km 26–30 mantener; NO acelerar. Corta si dolor altera la zancada.</t>
  </si>
  <si>
    <t>10 min caminata.</t>
  </si>
  <si>
    <t>Ensayo completo: desayuno, tenis, calcetines y geles. 60–75 g carbohidrato/h solo si ya lo toleras.</t>
  </si>
  <si>
    <t>Tope aprox. 3 h 25 min; prioriza terminar sano.</t>
  </si>
  <si>
    <t>Comienza el taper: bajar fatiga y mantener sensaciones.</t>
  </si>
  <si>
    <t>No recuperar kilómetros.</t>
  </si>
  <si>
    <t>Fácil.</t>
  </si>
  <si>
    <t>Ritmo maratón</t>
  </si>
  <si>
    <t>2 km suave + 4 km a 6:05–6:20 + 2 km suave.</t>
  </si>
  <si>
    <t>Gimnasio ligero final</t>
  </si>
  <si>
    <t>Última sesión real de fuerza.</t>
  </si>
  <si>
    <t>Movilidad.</t>
  </si>
  <si>
    <t>20–25 min; 2 series; 4 RIR.</t>
  </si>
  <si>
    <t>Nada de agujetas.</t>
  </si>
  <si>
    <t>3 min caminata.</t>
  </si>
  <si>
    <t>Relajado.</t>
  </si>
  <si>
    <t>Larga cómoda</t>
  </si>
  <si>
    <t>22 km completamente cómodos a 6:25–6:45. Nada de cierre fuerte.</t>
  </si>
  <si>
    <t>50–60 g carbohidrato/h para mantener práctica.</t>
  </si>
  <si>
    <t>Debe dar confianza, no fatiga profunda.</t>
  </si>
  <si>
    <t>Taper: ya no buscas ganar forma.</t>
  </si>
  <si>
    <t>6 km suaves + 4 × 15–20 s strides; recuperación completa.</t>
  </si>
  <si>
    <t>Rápido pero relajado.</t>
  </si>
  <si>
    <t>Sin gimnasio de piernas.</t>
  </si>
  <si>
    <t>4 km muy cómodos.</t>
  </si>
  <si>
    <t>Larga corta</t>
  </si>
  <si>
    <t>14 km fáciles a 6:25–6:45. Termina con mucha reserva.</t>
  </si>
  <si>
    <t>5 min caminata.</t>
  </si>
  <si>
    <t>Agua; gel opcional para mantener rutina.</t>
  </si>
  <si>
    <t>Debes sentir que podrías seguir.</t>
  </si>
  <si>
    <t>SEMANA DE CARRERA.</t>
  </si>
  <si>
    <t>Movilidad muy suave.</t>
  </si>
  <si>
    <t>Nada nuevo.</t>
  </si>
  <si>
    <t>5 km fáciles.</t>
  </si>
  <si>
    <t>Termina fresco.</t>
  </si>
  <si>
    <t>Activación + strides</t>
  </si>
  <si>
    <t>RPE 3; strides 7</t>
  </si>
  <si>
    <t>Primer km muy fácil.</t>
  </si>
  <si>
    <t>4 km suaves + 3 × 15 s strides; recuperación completa.</t>
  </si>
  <si>
    <t>Nada de buscar velocidad.</t>
  </si>
  <si>
    <t>Prioriza carbohidratos conocidos y líquidos normales.</t>
  </si>
  <si>
    <t>Evita caminar de más.</t>
  </si>
  <si>
    <t>Shakeout opcional</t>
  </si>
  <si>
    <t>RPE 2</t>
  </si>
  <si>
    <t>OPCIONAL: 15–20 min muy suaves. Si estás cansado, descansa.</t>
  </si>
  <si>
    <t>Deja listo desayuno, geles, ropa y número.</t>
  </si>
  <si>
    <t>Descanso total también es válido.</t>
  </si>
  <si>
    <t>MARATÓN GDL 42.195 km</t>
  </si>
  <si>
    <t>RPE 3→6+</t>
  </si>
  <si>
    <t>5–10 min caminata + movilidad mínima; NO fatigar.</t>
  </si>
  <si>
    <t>Km 0–10: ~6:15–6:25 y control total. Km 10–30: sostén esfuerzo, no persigas pace. Km 30–42.2: corre por sensación. Caminar 30–60 s en abastecimientos es válido.</t>
  </si>
  <si>
    <t>Camina 10–15 min al terminar.</t>
  </si>
  <si>
    <t>Usa SOLO lo probado en largas; mantén el rango de carbohidratos tolerado y bebe según sed/condiciones.</t>
  </si>
  <si>
    <t>Objetivo principal: terminar sano. Dolor agudo/localizado o zancada alterada = detenerte.</t>
  </si>
  <si>
    <t>GUÍA DE RITMOS Y ESFUERZO</t>
  </si>
  <si>
    <t>Tipo</t>
  </si>
  <si>
    <t>Pace aprox.</t>
  </si>
  <si>
    <t>Sensación</t>
  </si>
  <si>
    <t>Para qué</t>
  </si>
  <si>
    <t>Regla práctica</t>
  </si>
  <si>
    <t>2–3</t>
  </si>
  <si>
    <t>Muy cómodo</t>
  </si>
  <si>
    <t>Recuperar</t>
  </si>
  <si>
    <t>Debe sentirse fácil, incluso demasiado fácil.</t>
  </si>
  <si>
    <t>3</t>
  </si>
  <si>
    <t>Conversación completa</t>
  </si>
  <si>
    <t>Base aeróbica</t>
  </si>
  <si>
    <t>Si 6:15 exige concentración, baja ritmo.</t>
  </si>
  <si>
    <t>Larga</t>
  </si>
  <si>
    <t>3–4</t>
  </si>
  <si>
    <t>Cómodo durante horas</t>
  </si>
  <si>
    <t>Resistencia</t>
  </si>
  <si>
    <t>Empieza lento; nunca 'compenses' tiempo.</t>
  </si>
  <si>
    <t>4–5</t>
  </si>
  <si>
    <t>Controlado</t>
  </si>
  <si>
    <t>Especificidad</t>
  </si>
  <si>
    <t>No es una meta rígida de carrera.</t>
  </si>
  <si>
    <t>Tempo</t>
  </si>
  <si>
    <t>6</t>
  </si>
  <si>
    <t>Fuerte controlado</t>
  </si>
  <si>
    <t>Umbral/resistencia</t>
  </si>
  <si>
    <t>No debe sentirse como una carrera de 5K.</t>
  </si>
  <si>
    <t>Strides</t>
  </si>
  <si>
    <t>15–20 s rápido</t>
  </si>
  <si>
    <t>7–8</t>
  </si>
  <si>
    <t>Rápido y relajado</t>
  </si>
  <si>
    <t>Técnica/economía</t>
  </si>
  <si>
    <t>No sprint; recuperación completa.</t>
  </si>
  <si>
    <t>Tema</t>
  </si>
  <si>
    <t>Especificación</t>
  </si>
  <si>
    <t>Tu pace natural</t>
  </si>
  <si>
    <t>Que normalmente corras cerca de 6:00/km NO significa que todos los días deban ir a 6:00. Los días fáciles protegen la calidad de la larga.</t>
  </si>
  <si>
    <t>Calor / cuestas</t>
  </si>
  <si>
    <t>Usa RPE y respiración. Un pace más lento puede ser exactamente el mismo entrenamiento fisiológico.</t>
  </si>
  <si>
    <t>Acelera progresivamente, mantén rápido unos segundos y desacelera; buena técnica, sin tensión.</t>
  </si>
  <si>
    <t>Ajuste</t>
  </si>
  <si>
    <t>Si tras 1–2 semanas tus datos reales no coinciden con estos rangos, ajusta el pace; conserva el objetivo de esfuerzo.</t>
  </si>
  <si>
    <t>Regla</t>
  </si>
  <si>
    <t>Acabar una sesión fácil con ganas de correr más es una señal positiva, no de que entrenaste mal.</t>
  </si>
  <si>
    <t>FUERZA / GIMNASIO</t>
  </si>
  <si>
    <t>Rutina</t>
  </si>
  <si>
    <t>Ejercicio</t>
  </si>
  <si>
    <t>Series</t>
  </si>
  <si>
    <t>Reps</t>
  </si>
  <si>
    <t>RIR</t>
  </si>
  <si>
    <t>Notas</t>
  </si>
  <si>
    <t>A</t>
  </si>
  <si>
    <t>Sentadilla goblet o barra</t>
  </si>
  <si>
    <t>6–8</t>
  </si>
  <si>
    <t>90–120 s</t>
  </si>
  <si>
    <t>Técnica limpia; no buscar PR.</t>
  </si>
  <si>
    <t>Peso muerto rumano</t>
  </si>
  <si>
    <t>8</t>
  </si>
  <si>
    <t>90 s</t>
  </si>
  <si>
    <t>Control de bajada.</t>
  </si>
  <si>
    <t>Bulgarian split squat</t>
  </si>
  <si>
    <t>8/pierna</t>
  </si>
  <si>
    <t>60–90 s</t>
  </si>
  <si>
    <t>Carga moderada.</t>
  </si>
  <si>
    <t>Elevación de pantorrilla</t>
  </si>
  <si>
    <t>12–15</t>
  </si>
  <si>
    <t>60 s</t>
  </si>
  <si>
    <t>Pausa arriba y abajo.</t>
  </si>
  <si>
    <t>Plancha</t>
  </si>
  <si>
    <t>30–45 s</t>
  </si>
  <si>
    <t>45 s</t>
  </si>
  <si>
    <t>Core firme.</t>
  </si>
  <si>
    <t>B</t>
  </si>
  <si>
    <t>Step-up o zancada</t>
  </si>
  <si>
    <t>Control de rodilla/cadera.</t>
  </si>
  <si>
    <t>Hip thrust</t>
  </si>
  <si>
    <t>8–10</t>
  </si>
  <si>
    <t>Sin llegar al fallo.</t>
  </si>
  <si>
    <t>Peso muerto a una pierna</t>
  </si>
  <si>
    <t>Ligero/moderado.</t>
  </si>
  <si>
    <t>Pantorrilla sentado</t>
  </si>
  <si>
    <t>Trabajo de sóleo.</t>
  </si>
  <si>
    <t>Dead bug</t>
  </si>
  <si>
    <t>8–10/lado</t>
  </si>
  <si>
    <t>Lento y controlado.</t>
  </si>
  <si>
    <t>Ligera</t>
  </si>
  <si>
    <t>Sentadilla goblet</t>
  </si>
  <si>
    <t>~50–60% de carga normal.</t>
  </si>
  <si>
    <t>Mantenimiento.</t>
  </si>
  <si>
    <t>Split squat</t>
  </si>
  <si>
    <t>6/pierna</t>
  </si>
  <si>
    <t>Sin agujetas.</t>
  </si>
  <si>
    <t>Pantorrilla</t>
  </si>
  <si>
    <t>12</t>
  </si>
  <si>
    <t>Plancha / dead bug</t>
  </si>
  <si>
    <t>30 s / 8 lado</t>
  </si>
  <si>
    <t>Core ligero.</t>
  </si>
  <si>
    <t>REGLAS DEL GIMNASIO</t>
  </si>
  <si>
    <t>1</t>
  </si>
  <si>
    <t>RIR = repeticiones que todavía podrías hacer. 2–3 RIR = terminar claramente antes del fallo.</t>
  </si>
  <si>
    <t>2</t>
  </si>
  <si>
    <t>Estas 9 semanas no buscamos hipertrofia ni récords; buscamos tolerar mejor la carrera.</t>
  </si>
  <si>
    <t>Si el gimnasio afecta la siguiente carrera, baja peso o series.</t>
  </si>
  <si>
    <t>4</t>
  </si>
  <si>
    <t>Dolor articular no es lo mismo que esfuerzo muscular normal; modifica el ejercicio que moleste.</t>
  </si>
  <si>
    <t>5</t>
  </si>
  <si>
    <t>Desde semana 8: sin gimnasio de piernas; movilidad/core ligero opcional.</t>
  </si>
  <si>
    <t>Si ya tienes una rutina bien tolerada, puedes usar ejercicios equivalentes respetando RIR y volumen.</t>
  </si>
  <si>
    <t>Suave realizado / sustituye carrera del martes</t>
  </si>
  <si>
    <t>6:46/km</t>
  </si>
  <si>
    <t>Según sensación real</t>
  </si>
  <si>
    <t>Carrera ya realizada: 10.46 km a 6:46/km en 1:10:46.</t>
  </si>
  <si>
    <t>5–10 min caminata + movilidad suave.</t>
  </si>
  <si>
    <t>Rehidratar y comer normal.</t>
  </si>
  <si>
    <t>Cuenta como la sesión aeróbica principal de inicio de semana.</t>
  </si>
  <si>
    <t>Completado</t>
  </si>
  <si>
    <t>Descanso de carrera + Gimnasio A</t>
  </si>
  <si>
    <t>5–8 min bici o caminata.</t>
  </si>
  <si>
    <t>No correr. Recuperar de los 10.46 km del lunes.</t>
  </si>
  <si>
    <t>Gimnasio A 35–45 min, 2–3 RIR. No llegar al fallo.</t>
  </si>
  <si>
    <t>Si amaneces muy cargado, reduce una serie por ejercicio.</t>
  </si>
  <si>
    <t>6 km suaves + 4 × 20 s strides. Recupera 60–90 s caminando/trotando entre strides.</t>
  </si>
  <si>
    <t>Si las piernas siguen pesadas, elimina los strides y deja solo los 6 km suaves.</t>
  </si>
  <si>
    <t>Gimnasio B ligero o movilidad</t>
  </si>
  <si>
    <t>5 min bici muy suave.</t>
  </si>
  <si>
    <t>Gimnasio B ligero 25–30 min, 2 series, 3–4 RIR. Si hay fatiga: solo movilidad + core.</t>
  </si>
  <si>
    <t>El objetivo es llegar fresco al domingo.</t>
  </si>
  <si>
    <t>5 min caminata/trote.</t>
  </si>
  <si>
    <t>4 km muy cómodos; no persigas ritmo.</t>
  </si>
  <si>
    <t>Debe dejar las piernas más sueltas, no más cansadas.</t>
  </si>
  <si>
    <t>Descanso. Prepara tenis, geles, agua y ruta para la larga.</t>
  </si>
  <si>
    <t>Cena normal con carbohidratos; no experimentar.</t>
  </si>
  <si>
    <t>Prioriza sueño y evita muchas horas de pie.</t>
  </si>
  <si>
    <t>5–10 min trote/caminata + movilidad.</t>
  </si>
  <si>
    <t>Km 1–5: 6:35–6:45. Km 6–18: 6:20–6:40. Km 19–21 mantener; NO acelerar.</t>
  </si>
  <si>
    <t>40–60 g carbohidrato/h desde ~35–40 min; agua según sed; practica geles.</t>
  </si>
  <si>
    <t>Mantén 21 km solo si llegas sin dolor localizado ni fatiga anormal.</t>
  </si>
  <si>
    <t>Descanso; caminata opcional 20–30 min.</t>
  </si>
  <si>
    <t>Chequea cómo recuperaste de la larga.</t>
  </si>
  <si>
    <t>Suave + Gimnasio A</t>
  </si>
  <si>
    <t>Mixto</t>
  </si>
  <si>
    <t>2.5 km suave + 4 km a 5:40–5:55/km + 2.5 km suave.</t>
  </si>
  <si>
    <t>Si el tempo pasa de RPE 6–7, baja ritmo.</t>
  </si>
  <si>
    <t>Mantén 2–3 RIR.</t>
  </si>
  <si>
    <t>6:20–6:40 → 6:05–6:20/km</t>
  </si>
  <si>
    <t>2 series por ejercicio, 3–4 RIR; reduce 20–25% la carga.</t>
  </si>
  <si>
    <t>Prioriza sueño y comida post-entreno.</t>
  </si>
  <si>
    <t>Mantenimiento; no fatiga.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</si>
</sst>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5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b/>
      <sz val="16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75D8C"/>
      </patternFill>
    </fill>
    <fill>
      <patternFill patternType="solid">
        <fgColor rgb="FFE8F5E9"/>
      </patternFill>
    </fill>
    <fill>
      <patternFill patternType="solid">
        <fgColor rgb="FFFFF4D6"/>
      </patternFill>
    </fill>
    <fill>
      <patternFill patternType="solid">
        <fgColor rgb="FFFDECEC"/>
      </patternFill>
    </fill>
    <fill>
      <patternFill patternType="solid">
        <fgColor rgb="FFF3F4F6"/>
      </patternFill>
    </fill>
    <fill>
      <patternFill patternType="solid">
        <fgColor rgb="FFF7F7F7"/>
      </patternFill>
    </fill>
    <fill>
      <patternFill patternType="solid">
        <fgColor rgb="FFF2F8F2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 vertical="top"/>
    </xf>
    <xf numFmtId="165" fontId="0" fillId="8" borderId="0" xfId="0" applyNumberFormat="1" applyFill="1" applyAlignment="1">
      <alignment horizontal="center" vertical="top"/>
    </xf>
    <xf numFmtId="0" fontId="0" fillId="8" borderId="0" xfId="0" applyFill="1" applyAlignment="1">
      <alignment horizontal="center" vertical="top" wrapText="1"/>
    </xf>
    <xf numFmtId="164" fontId="0" fillId="8" borderId="0" xfId="0" applyNumberFormat="1" applyFill="1" applyAlignment="1">
      <alignment horizontal="center" vertical="top" wrapText="1"/>
    </xf>
    <xf numFmtId="1" fontId="0" fillId="8" borderId="0" xfId="0" applyNumberFormat="1" applyFill="1" applyAlignment="1">
      <alignment horizontal="center" vertical="top" wrapText="1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0" fontId="0" fillId="9" borderId="0" xfId="0" applyFill="1" applyAlignment="1">
      <alignment horizontal="center" vertical="top"/>
    </xf>
    <xf numFmtId="165" fontId="0" fillId="9" borderId="0" xfId="0" applyNumberFormat="1" applyFill="1" applyAlignment="1">
      <alignment horizontal="center" vertical="top"/>
    </xf>
    <xf numFmtId="0" fontId="0" fillId="9" borderId="0" xfId="0" applyFill="1" applyAlignment="1">
      <alignment horizontal="center" vertical="top" wrapText="1"/>
    </xf>
    <xf numFmtId="164" fontId="0" fillId="9" borderId="0" xfId="0" applyNumberFormat="1" applyFill="1" applyAlignment="1">
      <alignment horizontal="center" vertical="top" wrapText="1"/>
    </xf>
    <xf numFmtId="1" fontId="0" fillId="9" borderId="0" xfId="0" applyNumberFormat="1" applyFill="1" applyAlignment="1">
      <alignment horizontal="center" vertical="top" wrapText="1"/>
    </xf>
    <xf numFmtId="0" fontId="0" fillId="10" borderId="0" xfId="0" applyFill="1" applyAlignment="1">
      <alignment horizontal="center" vertical="top"/>
    </xf>
    <xf numFmtId="165" fontId="0" fillId="10" borderId="0" xfId="0" applyNumberFormat="1" applyFill="1" applyAlignment="1">
      <alignment horizontal="center" vertical="top"/>
    </xf>
    <xf numFmtId="0" fontId="3" fillId="10" borderId="0" xfId="0" applyFont="1" applyFill="1" applyAlignment="1">
      <alignment horizontal="center" vertical="top" wrapText="1"/>
    </xf>
    <xf numFmtId="164" fontId="0" fillId="10" borderId="0" xfId="0" applyNumberFormat="1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1" fontId="0" fillId="10" borderId="0" xfId="0" applyNumberFormat="1" applyFill="1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  <xf numFmtId="2" fontId="0" fillId="8" borderId="0" xfId="0" applyNumberFormat="1" applyFill="1" applyAlignment="1">
      <alignment horizontal="center" vertical="top" wrapText="1"/>
    </xf>
    <xf numFmtId="2" fontId="0" fillId="9" borderId="0" xfId="0" applyNumberForma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MX"/>
              <a:t>Volumen semanal planificado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Fechas</c:v>
          </c:tx>
          <c:marker>
            <c:symbol val="none"/>
          </c:marker>
          <c:cat>
            <c:numRef>
              <c:f>Resumen!$A$13:$A$21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Resumen!$B$13:$B$21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BE-264F-9CBA-2689BF9EE786}"/>
            </c:ext>
          </c:extLst>
        </c:ser>
        <c:ser>
          <c:idx val="1"/>
          <c:order val="1"/>
          <c:tx>
            <c:v>Km planificados</c:v>
          </c:tx>
          <c:marker>
            <c:symbol val="none"/>
          </c:marker>
          <c:cat>
            <c:numRef>
              <c:f>Resumen!$A$13:$A$21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Resumen!$C$13:$C$21</c:f>
              <c:numCache>
                <c:formatCode>0.0</c:formatCode>
                <c:ptCount val="9"/>
                <c:pt idx="0">
                  <c:v>41.46</c:v>
                </c:pt>
                <c:pt idx="1">
                  <c:v>44</c:v>
                </c:pt>
                <c:pt idx="2">
                  <c:v>48</c:v>
                </c:pt>
                <c:pt idx="3">
                  <c:v>37</c:v>
                </c:pt>
                <c:pt idx="4">
                  <c:v>51</c:v>
                </c:pt>
                <c:pt idx="5">
                  <c:v>51</c:v>
                </c:pt>
                <c:pt idx="6">
                  <c:v>42</c:v>
                </c:pt>
                <c:pt idx="7">
                  <c:v>30</c:v>
                </c:pt>
                <c:pt idx="8">
                  <c:v>54.195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BE-264F-9CBA-2689BF9EE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zoomScale="134" workbookViewId="0">
      <selection activeCell="B52" sqref="B52"/>
    </sheetView>
  </sheetViews>
  <sheetFormatPr baseColWidth="10" defaultColWidth="8.83203125" defaultRowHeight="15"/>
  <cols>
    <col min="1" max="1" width="15" customWidth="1"/>
    <col min="2" max="2" width="22" customWidth="1"/>
    <col min="3" max="3" width="18" customWidth="1"/>
    <col min="4" max="4" width="22" customWidth="1"/>
    <col min="5" max="8" width="1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10"/>
      <c r="B2" s="10"/>
      <c r="C2" s="10"/>
      <c r="D2" s="10"/>
      <c r="E2" s="10"/>
      <c r="F2" s="10"/>
      <c r="G2" s="10"/>
      <c r="H2" s="10"/>
    </row>
    <row r="4" spans="1:8" ht="16">
      <c r="A4" s="1" t="s">
        <v>1</v>
      </c>
      <c r="B4" s="1" t="s">
        <v>2</v>
      </c>
      <c r="D4" s="2" t="s">
        <v>3</v>
      </c>
      <c r="E4" s="2" t="s">
        <v>4</v>
      </c>
      <c r="F4" s="2"/>
      <c r="G4" s="2"/>
      <c r="H4" s="2"/>
    </row>
    <row r="5" spans="1:8" ht="16">
      <c r="A5" t="s">
        <v>5</v>
      </c>
      <c r="B5">
        <v>20</v>
      </c>
      <c r="D5" s="3" t="s">
        <v>6</v>
      </c>
      <c r="E5" s="11" t="s">
        <v>7</v>
      </c>
      <c r="F5" s="11"/>
      <c r="G5" s="11"/>
      <c r="H5" s="11"/>
    </row>
    <row r="6" spans="1:8" ht="16">
      <c r="A6" t="s">
        <v>8</v>
      </c>
      <c r="B6" t="s">
        <v>9</v>
      </c>
      <c r="D6" s="3" t="s">
        <v>10</v>
      </c>
      <c r="E6" s="11" t="s">
        <v>11</v>
      </c>
      <c r="F6" s="11"/>
      <c r="G6" s="11"/>
      <c r="H6" s="11"/>
    </row>
    <row r="7" spans="1:8" ht="16">
      <c r="A7" t="s">
        <v>12</v>
      </c>
      <c r="B7" t="s">
        <v>13</v>
      </c>
      <c r="D7" s="3" t="s">
        <v>14</v>
      </c>
      <c r="E7" s="11" t="s">
        <v>15</v>
      </c>
      <c r="F7" s="11"/>
      <c r="G7" s="11"/>
      <c r="H7" s="11"/>
    </row>
    <row r="8" spans="1:8" ht="16">
      <c r="A8" t="s">
        <v>16</v>
      </c>
      <c r="B8" t="s">
        <v>17</v>
      </c>
      <c r="D8" s="3" t="s">
        <v>18</v>
      </c>
      <c r="E8" s="11" t="s">
        <v>19</v>
      </c>
      <c r="F8" s="11"/>
      <c r="G8" s="11"/>
      <c r="H8" s="11"/>
    </row>
    <row r="9" spans="1:8" ht="16">
      <c r="A9" t="s">
        <v>20</v>
      </c>
      <c r="B9" t="s">
        <v>21</v>
      </c>
      <c r="D9" s="3" t="s">
        <v>22</v>
      </c>
      <c r="E9" s="11" t="s">
        <v>23</v>
      </c>
      <c r="F9" s="11"/>
      <c r="G9" s="11"/>
      <c r="H9" s="11"/>
    </row>
    <row r="12" spans="1:8">
      <c r="A12" s="1" t="s">
        <v>24</v>
      </c>
      <c r="B12" s="1" t="s">
        <v>25</v>
      </c>
      <c r="C12" s="1" t="s">
        <v>26</v>
      </c>
      <c r="D12" s="1" t="s">
        <v>27</v>
      </c>
    </row>
    <row r="13" spans="1:8">
      <c r="A13">
        <v>1</v>
      </c>
      <c r="B13" t="s">
        <v>28</v>
      </c>
      <c r="C13" s="4">
        <f>SUMIF('Plan diario'!$A$2:$A$64,A13,'Plan diario'!$E$2:$E$64)</f>
        <v>41.46</v>
      </c>
      <c r="D13" s="4">
        <v>21</v>
      </c>
    </row>
    <row r="14" spans="1:8">
      <c r="A14">
        <v>2</v>
      </c>
      <c r="B14" t="s">
        <v>29</v>
      </c>
      <c r="C14" s="4">
        <f>SUMIF('Plan diario'!$A$2:$A$64,A14,'Plan diario'!$E$2:$E$64)</f>
        <v>44</v>
      </c>
      <c r="D14" s="4">
        <v>23</v>
      </c>
    </row>
    <row r="15" spans="1:8">
      <c r="A15">
        <v>3</v>
      </c>
      <c r="B15" t="s">
        <v>30</v>
      </c>
      <c r="C15" s="4">
        <f>SUMIF('Plan diario'!$A$2:$A$64,A15,'Plan diario'!$E$2:$E$64)</f>
        <v>48</v>
      </c>
      <c r="D15" s="4">
        <v>25</v>
      </c>
    </row>
    <row r="16" spans="1:8">
      <c r="A16">
        <v>4</v>
      </c>
      <c r="B16" t="s">
        <v>31</v>
      </c>
      <c r="C16" s="4">
        <f>SUMIF('Plan diario'!$A$2:$A$64,A16,'Plan diario'!$E$2:$E$64)</f>
        <v>37</v>
      </c>
      <c r="D16" s="4">
        <v>18</v>
      </c>
    </row>
    <row r="17" spans="1:8">
      <c r="A17">
        <v>5</v>
      </c>
      <c r="B17" t="s">
        <v>32</v>
      </c>
      <c r="C17" s="4">
        <f>SUMIF('Plan diario'!$A$2:$A$64,A17,'Plan diario'!$E$2:$E$64)</f>
        <v>51</v>
      </c>
      <c r="D17" s="4">
        <v>27</v>
      </c>
    </row>
    <row r="18" spans="1:8">
      <c r="A18">
        <v>6</v>
      </c>
      <c r="B18" t="s">
        <v>33</v>
      </c>
      <c r="C18" s="4">
        <f>SUMIF('Plan diario'!$A$2:$A$64,A18,'Plan diario'!$E$2:$E$64)</f>
        <v>51</v>
      </c>
      <c r="D18" s="4">
        <v>30</v>
      </c>
    </row>
    <row r="19" spans="1:8">
      <c r="A19">
        <v>7</v>
      </c>
      <c r="B19" t="s">
        <v>34</v>
      </c>
      <c r="C19" s="4">
        <f>SUMIF('Plan diario'!$A$2:$A$64,A19,'Plan diario'!$E$2:$E$64)</f>
        <v>42</v>
      </c>
      <c r="D19" s="4">
        <v>22</v>
      </c>
    </row>
    <row r="20" spans="1:8">
      <c r="A20">
        <v>8</v>
      </c>
      <c r="B20" t="s">
        <v>35</v>
      </c>
      <c r="C20" s="4">
        <f>SUMIF('Plan diario'!$A$2:$A$64,A20,'Plan diario'!$E$2:$E$64)</f>
        <v>30</v>
      </c>
      <c r="D20" s="4">
        <v>14</v>
      </c>
    </row>
    <row r="21" spans="1:8">
      <c r="A21">
        <v>9</v>
      </c>
      <c r="B21" t="s">
        <v>36</v>
      </c>
      <c r="C21" s="4">
        <f>SUMIF('Plan diario'!$A$2:$A$64,A21,'Plan diario'!$E$2:$E$64)</f>
        <v>54.195</v>
      </c>
      <c r="D21" s="4">
        <v>42.195</v>
      </c>
    </row>
    <row r="24" spans="1:8">
      <c r="A24" s="12" t="s">
        <v>37</v>
      </c>
      <c r="B24" s="12"/>
      <c r="C24" s="12"/>
      <c r="D24" s="12"/>
      <c r="E24" s="12"/>
      <c r="F24" s="12"/>
      <c r="G24" s="12"/>
      <c r="H24" s="12"/>
    </row>
    <row r="25" spans="1:8" ht="16">
      <c r="A25" s="5" t="s">
        <v>38</v>
      </c>
      <c r="B25" s="13" t="s">
        <v>39</v>
      </c>
      <c r="C25" s="13" t="s">
        <v>40</v>
      </c>
      <c r="D25" s="13"/>
      <c r="E25" s="13"/>
      <c r="F25" s="13"/>
      <c r="G25" s="13"/>
      <c r="H25" s="13"/>
    </row>
    <row r="26" spans="1:8" ht="16">
      <c r="A26" s="6" t="s">
        <v>41</v>
      </c>
      <c r="B26" s="14" t="s">
        <v>42</v>
      </c>
      <c r="C26" s="14" t="s">
        <v>43</v>
      </c>
      <c r="D26" s="14"/>
      <c r="E26" s="14"/>
      <c r="F26" s="14"/>
      <c r="G26" s="14"/>
      <c r="H26" s="14"/>
    </row>
    <row r="27" spans="1:8" ht="16">
      <c r="A27" s="7" t="s">
        <v>44</v>
      </c>
      <c r="B27" s="15" t="s">
        <v>45</v>
      </c>
      <c r="C27" s="15" t="s">
        <v>46</v>
      </c>
      <c r="D27" s="15"/>
      <c r="E27" s="15"/>
      <c r="F27" s="15"/>
      <c r="G27" s="15"/>
      <c r="H27" s="15"/>
    </row>
    <row r="28" spans="1:8" ht="16">
      <c r="A28" s="8" t="s">
        <v>47</v>
      </c>
      <c r="B28" s="16" t="s">
        <v>48</v>
      </c>
      <c r="C28" s="16"/>
      <c r="D28" s="16"/>
      <c r="E28" s="16"/>
      <c r="F28" s="16"/>
      <c r="G28" s="16"/>
      <c r="H28" s="16"/>
    </row>
  </sheetData>
  <mergeCells count="15">
    <mergeCell ref="B27:C27"/>
    <mergeCell ref="D27:H27"/>
    <mergeCell ref="B28:C28"/>
    <mergeCell ref="D28:H28"/>
    <mergeCell ref="E9:H9"/>
    <mergeCell ref="A24:H24"/>
    <mergeCell ref="B25:C25"/>
    <mergeCell ref="D25:H25"/>
    <mergeCell ref="B26:C26"/>
    <mergeCell ref="D26:H26"/>
    <mergeCell ref="A1:H2"/>
    <mergeCell ref="E5:H5"/>
    <mergeCell ref="E6:H6"/>
    <mergeCell ref="E7:H7"/>
    <mergeCell ref="E8:H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4"/>
  <sheetViews>
    <sheetView tabSelected="1" topLeftCell="G1" workbookViewId="0">
      <selection activeCell="K6" sqref="K6"/>
    </sheetView>
  </sheetViews>
  <sheetFormatPr baseColWidth="10" defaultColWidth="8.83203125" defaultRowHeight="15"/>
  <cols>
    <col min="1" max="1" width="8" style="18" customWidth="1"/>
    <col min="2" max="2" width="12" style="18" customWidth="1"/>
    <col min="3" max="3" width="11" style="18" customWidth="1"/>
    <col min="4" max="4" width="24" style="18" customWidth="1"/>
    <col min="5" max="5" width="8" style="18" customWidth="1"/>
    <col min="6" max="7" width="18" style="18" customWidth="1"/>
    <col min="8" max="8" width="16" style="18" customWidth="1"/>
    <col min="9" max="9" width="28" style="18" customWidth="1"/>
    <col min="10" max="10" width="58" style="18" customWidth="1"/>
    <col min="11" max="11" width="24" style="18" customWidth="1"/>
    <col min="12" max="12" width="42" style="18" customWidth="1"/>
    <col min="13" max="13" width="50" style="18" customWidth="1"/>
    <col min="14" max="14" width="42" style="18" customWidth="1"/>
    <col min="15" max="15" width="14" style="18" customWidth="1"/>
    <col min="16" max="16" width="10" style="18" customWidth="1"/>
    <col min="17" max="17" width="12" style="18" customWidth="1"/>
    <col min="18" max="18" width="10" style="18" customWidth="1"/>
    <col min="19" max="19" width="11" style="18" customWidth="1"/>
    <col min="20" max="16384" width="8.83203125" style="18"/>
  </cols>
  <sheetData>
    <row r="1" spans="1:19" ht="32">
      <c r="A1" s="9" t="s">
        <v>24</v>
      </c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  <c r="L1" s="9" t="s">
        <v>59</v>
      </c>
      <c r="M1" s="9" t="s">
        <v>60</v>
      </c>
      <c r="N1" s="9" t="s">
        <v>61</v>
      </c>
      <c r="O1" s="9" t="s">
        <v>62</v>
      </c>
      <c r="P1" s="9" t="s">
        <v>63</v>
      </c>
      <c r="Q1" s="9" t="s">
        <v>64</v>
      </c>
      <c r="R1" s="9" t="s">
        <v>65</v>
      </c>
      <c r="S1" s="9" t="s">
        <v>66</v>
      </c>
    </row>
    <row r="2" spans="1:19" ht="32">
      <c r="A2" s="24">
        <v>1</v>
      </c>
      <c r="B2" s="25">
        <v>46272</v>
      </c>
      <c r="C2" s="24" t="s">
        <v>67</v>
      </c>
      <c r="D2" s="26" t="s">
        <v>362</v>
      </c>
      <c r="E2" s="40">
        <v>10.46</v>
      </c>
      <c r="F2" s="26" t="s">
        <v>363</v>
      </c>
      <c r="G2" s="26">
        <v>71</v>
      </c>
      <c r="H2" s="26" t="s">
        <v>364</v>
      </c>
      <c r="I2" s="26" t="s">
        <v>69</v>
      </c>
      <c r="J2" s="26" t="s">
        <v>365</v>
      </c>
      <c r="K2" s="26" t="s">
        <v>366</v>
      </c>
      <c r="L2" s="26" t="s">
        <v>69</v>
      </c>
      <c r="M2" s="26" t="s">
        <v>367</v>
      </c>
      <c r="N2" s="26" t="s">
        <v>368</v>
      </c>
      <c r="O2" s="24" t="s">
        <v>369</v>
      </c>
      <c r="P2" s="24">
        <v>10.46</v>
      </c>
      <c r="Q2" s="24" t="s">
        <v>363</v>
      </c>
      <c r="R2" s="24"/>
      <c r="S2" s="24"/>
    </row>
    <row r="3" spans="1:19" ht="32">
      <c r="A3" s="19">
        <v>1</v>
      </c>
      <c r="B3" s="20">
        <v>46273</v>
      </c>
      <c r="C3" s="19" t="s">
        <v>74</v>
      </c>
      <c r="D3" s="21" t="s">
        <v>370</v>
      </c>
      <c r="E3" s="41">
        <v>0</v>
      </c>
      <c r="F3" s="21" t="s">
        <v>69</v>
      </c>
      <c r="G3" s="21">
        <v>0</v>
      </c>
      <c r="H3" s="21" t="s">
        <v>103</v>
      </c>
      <c r="I3" s="21" t="s">
        <v>371</v>
      </c>
      <c r="J3" s="21" t="s">
        <v>372</v>
      </c>
      <c r="K3" s="21" t="s">
        <v>88</v>
      </c>
      <c r="L3" s="21" t="s">
        <v>373</v>
      </c>
      <c r="M3" s="21" t="s">
        <v>79</v>
      </c>
      <c r="N3" s="21" t="s">
        <v>374</v>
      </c>
      <c r="O3" s="24" t="s">
        <v>73</v>
      </c>
      <c r="P3" s="24"/>
      <c r="Q3" s="24"/>
      <c r="R3" s="24"/>
      <c r="S3" s="24"/>
    </row>
    <row r="4" spans="1:19" ht="32">
      <c r="A4" s="24">
        <v>1</v>
      </c>
      <c r="B4" s="25">
        <v>46274</v>
      </c>
      <c r="C4" s="24" t="s">
        <v>80</v>
      </c>
      <c r="D4" s="26" t="s">
        <v>81</v>
      </c>
      <c r="E4" s="40">
        <v>6</v>
      </c>
      <c r="F4" s="26" t="s">
        <v>76</v>
      </c>
      <c r="G4" s="26">
        <v>38</v>
      </c>
      <c r="H4" s="26" t="s">
        <v>82</v>
      </c>
      <c r="I4" s="26" t="s">
        <v>83</v>
      </c>
      <c r="J4" s="26" t="s">
        <v>375</v>
      </c>
      <c r="K4" s="26" t="s">
        <v>84</v>
      </c>
      <c r="L4" s="26" t="s">
        <v>69</v>
      </c>
      <c r="M4" s="26" t="s">
        <v>85</v>
      </c>
      <c r="N4" s="26" t="s">
        <v>376</v>
      </c>
      <c r="O4" s="24" t="s">
        <v>73</v>
      </c>
      <c r="P4" s="24"/>
      <c r="Q4" s="24"/>
      <c r="R4" s="24"/>
      <c r="S4" s="24"/>
    </row>
    <row r="5" spans="1:19" ht="32">
      <c r="A5" s="24">
        <v>1</v>
      </c>
      <c r="B5" s="25">
        <v>46275</v>
      </c>
      <c r="C5" s="24" t="s">
        <v>86</v>
      </c>
      <c r="D5" s="26" t="s">
        <v>377</v>
      </c>
      <c r="E5" s="40">
        <v>0</v>
      </c>
      <c r="F5" s="26" t="s">
        <v>69</v>
      </c>
      <c r="G5" s="26">
        <v>0</v>
      </c>
      <c r="H5" s="26" t="s">
        <v>103</v>
      </c>
      <c r="I5" s="26" t="s">
        <v>378</v>
      </c>
      <c r="J5" s="26" t="s">
        <v>117</v>
      </c>
      <c r="K5" s="26" t="s">
        <v>88</v>
      </c>
      <c r="L5" s="26" t="s">
        <v>379</v>
      </c>
      <c r="M5" s="26" t="s">
        <v>72</v>
      </c>
      <c r="N5" s="26" t="s">
        <v>380</v>
      </c>
      <c r="O5" s="24" t="s">
        <v>73</v>
      </c>
      <c r="P5" s="24"/>
      <c r="Q5" s="24"/>
      <c r="R5" s="24"/>
      <c r="S5" s="24"/>
    </row>
    <row r="6" spans="1:19" ht="32">
      <c r="A6" s="24">
        <v>1</v>
      </c>
      <c r="B6" s="25">
        <v>46276</v>
      </c>
      <c r="C6" s="24" t="s">
        <v>90</v>
      </c>
      <c r="D6" s="26" t="s">
        <v>91</v>
      </c>
      <c r="E6" s="40">
        <v>4</v>
      </c>
      <c r="F6" s="26" t="s">
        <v>92</v>
      </c>
      <c r="G6" s="26">
        <v>27</v>
      </c>
      <c r="H6" s="26" t="s">
        <v>93</v>
      </c>
      <c r="I6" s="26" t="s">
        <v>381</v>
      </c>
      <c r="J6" s="26" t="s">
        <v>382</v>
      </c>
      <c r="K6" s="26" t="s">
        <v>78</v>
      </c>
      <c r="L6" s="26" t="s">
        <v>69</v>
      </c>
      <c r="M6" s="26" t="s">
        <v>85</v>
      </c>
      <c r="N6" s="26" t="s">
        <v>383</v>
      </c>
      <c r="O6" s="24" t="s">
        <v>73</v>
      </c>
      <c r="P6" s="24"/>
      <c r="Q6" s="24"/>
      <c r="R6" s="24"/>
      <c r="S6" s="24"/>
    </row>
    <row r="7" spans="1:19" ht="16">
      <c r="A7" s="19">
        <v>1</v>
      </c>
      <c r="B7" s="20">
        <v>46277</v>
      </c>
      <c r="C7" s="19" t="s">
        <v>95</v>
      </c>
      <c r="D7" s="21" t="s">
        <v>96</v>
      </c>
      <c r="E7" s="41">
        <v>0</v>
      </c>
      <c r="F7" s="21" t="s">
        <v>69</v>
      </c>
      <c r="G7" s="21">
        <v>0</v>
      </c>
      <c r="H7" s="21" t="s">
        <v>97</v>
      </c>
      <c r="I7" s="21" t="s">
        <v>69</v>
      </c>
      <c r="J7" s="21" t="s">
        <v>384</v>
      </c>
      <c r="K7" s="21" t="s">
        <v>69</v>
      </c>
      <c r="L7" s="21" t="s">
        <v>69</v>
      </c>
      <c r="M7" s="21" t="s">
        <v>385</v>
      </c>
      <c r="N7" s="21" t="s">
        <v>386</v>
      </c>
      <c r="O7" s="24" t="s">
        <v>73</v>
      </c>
      <c r="P7" s="24"/>
      <c r="Q7" s="24"/>
      <c r="R7" s="24"/>
      <c r="S7" s="24"/>
    </row>
    <row r="8" spans="1:19" ht="32">
      <c r="A8" s="29">
        <v>1</v>
      </c>
      <c r="B8" s="30">
        <v>46278</v>
      </c>
      <c r="C8" s="29" t="s">
        <v>100</v>
      </c>
      <c r="D8" s="31" t="s">
        <v>101</v>
      </c>
      <c r="E8" s="42">
        <v>21</v>
      </c>
      <c r="F8" s="31" t="s">
        <v>102</v>
      </c>
      <c r="G8" s="31">
        <v>134</v>
      </c>
      <c r="H8" s="31" t="s">
        <v>103</v>
      </c>
      <c r="I8" s="31" t="s">
        <v>387</v>
      </c>
      <c r="J8" s="31" t="s">
        <v>388</v>
      </c>
      <c r="K8" s="31" t="s">
        <v>104</v>
      </c>
      <c r="L8" s="31" t="s">
        <v>69</v>
      </c>
      <c r="M8" s="31" t="s">
        <v>389</v>
      </c>
      <c r="N8" s="31" t="s">
        <v>390</v>
      </c>
      <c r="O8" s="24" t="s">
        <v>73</v>
      </c>
      <c r="P8" s="24"/>
      <c r="Q8" s="24"/>
      <c r="R8" s="24"/>
      <c r="S8" s="24"/>
    </row>
    <row r="9" spans="1:19" ht="16">
      <c r="A9" s="19">
        <v>2</v>
      </c>
      <c r="B9" s="20">
        <v>46279</v>
      </c>
      <c r="C9" s="19" t="s">
        <v>67</v>
      </c>
      <c r="D9" s="21" t="s">
        <v>96</v>
      </c>
      <c r="E9" s="41">
        <v>0</v>
      </c>
      <c r="F9" s="21" t="s">
        <v>69</v>
      </c>
      <c r="G9" s="21">
        <v>0</v>
      </c>
      <c r="H9" s="21" t="s">
        <v>97</v>
      </c>
      <c r="I9" s="21" t="s">
        <v>69</v>
      </c>
      <c r="J9" s="21" t="s">
        <v>391</v>
      </c>
      <c r="K9" s="21" t="s">
        <v>71</v>
      </c>
      <c r="L9" s="21" t="s">
        <v>69</v>
      </c>
      <c r="M9" s="21" t="s">
        <v>72</v>
      </c>
      <c r="N9" s="21" t="s">
        <v>392</v>
      </c>
      <c r="O9" s="24" t="s">
        <v>73</v>
      </c>
      <c r="P9" s="24"/>
      <c r="Q9" s="24"/>
      <c r="R9" s="24"/>
      <c r="S9" s="24"/>
    </row>
    <row r="10" spans="1:19" ht="16">
      <c r="A10" s="24">
        <v>2</v>
      </c>
      <c r="B10" s="25">
        <v>46280</v>
      </c>
      <c r="C10" s="24" t="s">
        <v>74</v>
      </c>
      <c r="D10" s="26" t="s">
        <v>393</v>
      </c>
      <c r="E10" s="40">
        <v>7</v>
      </c>
      <c r="F10" s="26" t="s">
        <v>76</v>
      </c>
      <c r="G10" s="26">
        <v>44</v>
      </c>
      <c r="H10" s="26" t="s">
        <v>77</v>
      </c>
      <c r="I10" s="26" t="s">
        <v>105</v>
      </c>
      <c r="J10" s="26" t="s">
        <v>106</v>
      </c>
      <c r="K10" s="26" t="s">
        <v>78</v>
      </c>
      <c r="L10" s="26" t="s">
        <v>107</v>
      </c>
      <c r="M10" s="26" t="s">
        <v>85</v>
      </c>
      <c r="N10" s="26" t="s">
        <v>108</v>
      </c>
      <c r="O10" s="24" t="s">
        <v>73</v>
      </c>
      <c r="P10" s="24"/>
      <c r="Q10" s="24"/>
      <c r="R10" s="24"/>
      <c r="S10" s="24"/>
    </row>
    <row r="11" spans="1:19" ht="32">
      <c r="A11" s="24">
        <v>2</v>
      </c>
      <c r="B11" s="25">
        <v>46281</v>
      </c>
      <c r="C11" s="24" t="s">
        <v>80</v>
      </c>
      <c r="D11" s="26" t="s">
        <v>109</v>
      </c>
      <c r="E11" s="40">
        <v>9</v>
      </c>
      <c r="F11" s="26" t="s">
        <v>394</v>
      </c>
      <c r="G11" s="26">
        <v>55</v>
      </c>
      <c r="H11" s="26" t="s">
        <v>111</v>
      </c>
      <c r="I11" s="26" t="s">
        <v>112</v>
      </c>
      <c r="J11" s="26" t="s">
        <v>395</v>
      </c>
      <c r="K11" s="26" t="s">
        <v>113</v>
      </c>
      <c r="L11" s="26" t="s">
        <v>69</v>
      </c>
      <c r="M11" s="26" t="s">
        <v>114</v>
      </c>
      <c r="N11" s="26" t="s">
        <v>396</v>
      </c>
      <c r="O11" s="24" t="s">
        <v>73</v>
      </c>
      <c r="P11" s="24"/>
      <c r="Q11" s="24"/>
      <c r="R11" s="24"/>
      <c r="S11" s="24"/>
    </row>
    <row r="12" spans="1:19" ht="16">
      <c r="A12" s="24">
        <v>2</v>
      </c>
      <c r="B12" s="25">
        <v>46282</v>
      </c>
      <c r="C12" s="24" t="s">
        <v>86</v>
      </c>
      <c r="D12" s="26" t="s">
        <v>115</v>
      </c>
      <c r="E12" s="40">
        <v>0</v>
      </c>
      <c r="F12" s="26" t="s">
        <v>69</v>
      </c>
      <c r="G12" s="26">
        <v>0</v>
      </c>
      <c r="H12" s="26" t="s">
        <v>87</v>
      </c>
      <c r="I12" s="26" t="s">
        <v>116</v>
      </c>
      <c r="J12" s="26" t="s">
        <v>117</v>
      </c>
      <c r="K12" s="26" t="s">
        <v>118</v>
      </c>
      <c r="L12" s="26" t="s">
        <v>89</v>
      </c>
      <c r="M12" s="26" t="s">
        <v>72</v>
      </c>
      <c r="N12" s="26" t="s">
        <v>119</v>
      </c>
      <c r="O12" s="24" t="s">
        <v>73</v>
      </c>
      <c r="P12" s="24"/>
      <c r="Q12" s="24"/>
      <c r="R12" s="24"/>
      <c r="S12" s="24"/>
    </row>
    <row r="13" spans="1:19" ht="16">
      <c r="A13" s="24">
        <v>2</v>
      </c>
      <c r="B13" s="25">
        <v>46283</v>
      </c>
      <c r="C13" s="24" t="s">
        <v>90</v>
      </c>
      <c r="D13" s="26" t="s">
        <v>91</v>
      </c>
      <c r="E13" s="40">
        <v>5</v>
      </c>
      <c r="F13" s="26" t="s">
        <v>92</v>
      </c>
      <c r="G13" s="26">
        <v>34</v>
      </c>
      <c r="H13" s="26" t="s">
        <v>93</v>
      </c>
      <c r="I13" s="26" t="s">
        <v>94</v>
      </c>
      <c r="J13" s="26" t="s">
        <v>120</v>
      </c>
      <c r="K13" s="26" t="s">
        <v>78</v>
      </c>
      <c r="L13" s="26" t="s">
        <v>69</v>
      </c>
      <c r="M13" s="26" t="s">
        <v>85</v>
      </c>
      <c r="N13" s="26" t="s">
        <v>121</v>
      </c>
      <c r="O13" s="24" t="s">
        <v>73</v>
      </c>
      <c r="P13" s="24"/>
      <c r="Q13" s="24"/>
      <c r="R13" s="24"/>
      <c r="S13" s="24"/>
    </row>
    <row r="14" spans="1:19" ht="16">
      <c r="A14" s="19">
        <v>2</v>
      </c>
      <c r="B14" s="20">
        <v>46284</v>
      </c>
      <c r="C14" s="19" t="s">
        <v>95</v>
      </c>
      <c r="D14" s="21" t="s">
        <v>96</v>
      </c>
      <c r="E14" s="41">
        <v>0</v>
      </c>
      <c r="F14" s="21" t="s">
        <v>69</v>
      </c>
      <c r="G14" s="21">
        <v>0</v>
      </c>
      <c r="H14" s="21" t="s">
        <v>97</v>
      </c>
      <c r="I14" s="21" t="s">
        <v>69</v>
      </c>
      <c r="J14" s="21" t="s">
        <v>122</v>
      </c>
      <c r="K14" s="21" t="s">
        <v>69</v>
      </c>
      <c r="L14" s="21" t="s">
        <v>69</v>
      </c>
      <c r="M14" s="21" t="s">
        <v>98</v>
      </c>
      <c r="N14" s="21" t="s">
        <v>123</v>
      </c>
      <c r="O14" s="24" t="s">
        <v>73</v>
      </c>
      <c r="P14" s="24"/>
      <c r="Q14" s="24"/>
      <c r="R14" s="24"/>
      <c r="S14" s="24"/>
    </row>
    <row r="15" spans="1:19" ht="32">
      <c r="A15" s="29">
        <v>2</v>
      </c>
      <c r="B15" s="30">
        <v>46285</v>
      </c>
      <c r="C15" s="29" t="s">
        <v>100</v>
      </c>
      <c r="D15" s="31" t="s">
        <v>101</v>
      </c>
      <c r="E15" s="42">
        <v>23</v>
      </c>
      <c r="F15" s="31" t="s">
        <v>102</v>
      </c>
      <c r="G15" s="31">
        <v>147</v>
      </c>
      <c r="H15" s="31" t="s">
        <v>103</v>
      </c>
      <c r="I15" s="31" t="s">
        <v>124</v>
      </c>
      <c r="J15" s="31" t="s">
        <v>125</v>
      </c>
      <c r="K15" s="31" t="s">
        <v>104</v>
      </c>
      <c r="L15" s="31" t="s">
        <v>69</v>
      </c>
      <c r="M15" s="31" t="s">
        <v>126</v>
      </c>
      <c r="N15" s="31" t="s">
        <v>127</v>
      </c>
      <c r="O15" s="24" t="s">
        <v>73</v>
      </c>
      <c r="P15" s="24"/>
      <c r="Q15" s="24"/>
      <c r="R15" s="24"/>
      <c r="S15" s="24"/>
    </row>
    <row r="16" spans="1:19" ht="16">
      <c r="A16" s="19">
        <v>3</v>
      </c>
      <c r="B16" s="20">
        <v>46286</v>
      </c>
      <c r="C16" s="19" t="s">
        <v>67</v>
      </c>
      <c r="D16" s="21" t="s">
        <v>96</v>
      </c>
      <c r="E16" s="41">
        <v>0</v>
      </c>
      <c r="F16" s="21" t="s">
        <v>69</v>
      </c>
      <c r="G16" s="21">
        <v>0</v>
      </c>
      <c r="H16" s="21" t="s">
        <v>97</v>
      </c>
      <c r="I16" s="21" t="s">
        <v>69</v>
      </c>
      <c r="J16" s="21" t="s">
        <v>122</v>
      </c>
      <c r="K16" s="21" t="s">
        <v>128</v>
      </c>
      <c r="L16" s="21" t="s">
        <v>69</v>
      </c>
      <c r="M16" s="21" t="s">
        <v>72</v>
      </c>
      <c r="N16" s="21" t="s">
        <v>129</v>
      </c>
      <c r="O16" s="24" t="s">
        <v>73</v>
      </c>
      <c r="P16" s="24"/>
      <c r="Q16" s="24"/>
      <c r="R16" s="24"/>
      <c r="S16" s="24"/>
    </row>
    <row r="17" spans="1:19" ht="16">
      <c r="A17" s="24">
        <v>3</v>
      </c>
      <c r="B17" s="25">
        <v>46287</v>
      </c>
      <c r="C17" s="24" t="s">
        <v>74</v>
      </c>
      <c r="D17" s="26" t="s">
        <v>393</v>
      </c>
      <c r="E17" s="40">
        <v>8</v>
      </c>
      <c r="F17" s="26" t="s">
        <v>76</v>
      </c>
      <c r="G17" s="26">
        <v>50</v>
      </c>
      <c r="H17" s="26" t="s">
        <v>77</v>
      </c>
      <c r="I17" s="26" t="s">
        <v>105</v>
      </c>
      <c r="J17" s="26" t="s">
        <v>130</v>
      </c>
      <c r="K17" s="26" t="s">
        <v>78</v>
      </c>
      <c r="L17" s="26" t="s">
        <v>131</v>
      </c>
      <c r="M17" s="26" t="s">
        <v>85</v>
      </c>
      <c r="N17" s="26" t="s">
        <v>397</v>
      </c>
      <c r="O17" s="24" t="s">
        <v>73</v>
      </c>
      <c r="P17" s="24"/>
      <c r="Q17" s="24"/>
      <c r="R17" s="24"/>
      <c r="S17" s="24"/>
    </row>
    <row r="18" spans="1:19" ht="32">
      <c r="A18" s="24">
        <v>3</v>
      </c>
      <c r="B18" s="25">
        <v>46288</v>
      </c>
      <c r="C18" s="24" t="s">
        <v>80</v>
      </c>
      <c r="D18" s="26" t="s">
        <v>132</v>
      </c>
      <c r="E18" s="40">
        <v>10</v>
      </c>
      <c r="F18" s="26" t="s">
        <v>398</v>
      </c>
      <c r="G18" s="26">
        <v>62</v>
      </c>
      <c r="H18" s="26" t="s">
        <v>133</v>
      </c>
      <c r="I18" s="26" t="s">
        <v>134</v>
      </c>
      <c r="J18" s="26" t="s">
        <v>135</v>
      </c>
      <c r="K18" s="26" t="s">
        <v>136</v>
      </c>
      <c r="L18" s="26" t="s">
        <v>69</v>
      </c>
      <c r="M18" s="26" t="s">
        <v>85</v>
      </c>
      <c r="N18" s="26" t="s">
        <v>137</v>
      </c>
      <c r="O18" s="24" t="s">
        <v>73</v>
      </c>
      <c r="P18" s="24"/>
      <c r="Q18" s="24"/>
      <c r="R18" s="24"/>
      <c r="S18" s="24"/>
    </row>
    <row r="19" spans="1:19" ht="32">
      <c r="A19" s="24">
        <v>3</v>
      </c>
      <c r="B19" s="25">
        <v>46289</v>
      </c>
      <c r="C19" s="24" t="s">
        <v>86</v>
      </c>
      <c r="D19" s="26" t="s">
        <v>138</v>
      </c>
      <c r="E19" s="40">
        <v>0</v>
      </c>
      <c r="F19" s="26" t="s">
        <v>69</v>
      </c>
      <c r="G19" s="26">
        <v>0</v>
      </c>
      <c r="H19" s="26" t="s">
        <v>139</v>
      </c>
      <c r="I19" s="26" t="s">
        <v>140</v>
      </c>
      <c r="J19" s="26" t="s">
        <v>117</v>
      </c>
      <c r="K19" s="26" t="s">
        <v>88</v>
      </c>
      <c r="L19" s="26" t="s">
        <v>399</v>
      </c>
      <c r="M19" s="26" t="s">
        <v>72</v>
      </c>
      <c r="N19" s="26" t="s">
        <v>141</v>
      </c>
      <c r="O19" s="24" t="s">
        <v>73</v>
      </c>
      <c r="P19" s="24"/>
      <c r="Q19" s="24"/>
      <c r="R19" s="24"/>
      <c r="S19" s="24"/>
    </row>
    <row r="20" spans="1:19" ht="16">
      <c r="A20" s="24">
        <v>3</v>
      </c>
      <c r="B20" s="25">
        <v>46290</v>
      </c>
      <c r="C20" s="24" t="s">
        <v>90</v>
      </c>
      <c r="D20" s="26" t="s">
        <v>91</v>
      </c>
      <c r="E20" s="40">
        <v>5</v>
      </c>
      <c r="F20" s="26" t="s">
        <v>92</v>
      </c>
      <c r="G20" s="26">
        <v>34</v>
      </c>
      <c r="H20" s="26" t="s">
        <v>93</v>
      </c>
      <c r="I20" s="26" t="s">
        <v>94</v>
      </c>
      <c r="J20" s="26" t="s">
        <v>142</v>
      </c>
      <c r="K20" s="26" t="s">
        <v>78</v>
      </c>
      <c r="L20" s="26" t="s">
        <v>69</v>
      </c>
      <c r="M20" s="26" t="s">
        <v>85</v>
      </c>
      <c r="N20" s="26" t="s">
        <v>143</v>
      </c>
      <c r="O20" s="24" t="s">
        <v>73</v>
      </c>
      <c r="P20" s="24"/>
      <c r="Q20" s="24"/>
      <c r="R20" s="24"/>
      <c r="S20" s="24"/>
    </row>
    <row r="21" spans="1:19" ht="16">
      <c r="A21" s="19">
        <v>3</v>
      </c>
      <c r="B21" s="20">
        <v>46291</v>
      </c>
      <c r="C21" s="19" t="s">
        <v>95</v>
      </c>
      <c r="D21" s="21" t="s">
        <v>96</v>
      </c>
      <c r="E21" s="41">
        <v>0</v>
      </c>
      <c r="F21" s="21" t="s">
        <v>69</v>
      </c>
      <c r="G21" s="21">
        <v>0</v>
      </c>
      <c r="H21" s="21" t="s">
        <v>97</v>
      </c>
      <c r="I21" s="21" t="s">
        <v>69</v>
      </c>
      <c r="J21" s="21" t="s">
        <v>122</v>
      </c>
      <c r="K21" s="21" t="s">
        <v>69</v>
      </c>
      <c r="L21" s="21" t="s">
        <v>69</v>
      </c>
      <c r="M21" s="21" t="s">
        <v>144</v>
      </c>
      <c r="N21" s="21" t="s">
        <v>145</v>
      </c>
      <c r="O21" s="24" t="s">
        <v>73</v>
      </c>
      <c r="P21" s="24"/>
      <c r="Q21" s="24"/>
      <c r="R21" s="24"/>
      <c r="S21" s="24"/>
    </row>
    <row r="22" spans="1:19" ht="16">
      <c r="A22" s="29">
        <v>3</v>
      </c>
      <c r="B22" s="30">
        <v>46292</v>
      </c>
      <c r="C22" s="29" t="s">
        <v>100</v>
      </c>
      <c r="D22" s="31" t="s">
        <v>101</v>
      </c>
      <c r="E22" s="42">
        <v>25</v>
      </c>
      <c r="F22" s="31" t="s">
        <v>102</v>
      </c>
      <c r="G22" s="31">
        <v>160</v>
      </c>
      <c r="H22" s="31" t="s">
        <v>103</v>
      </c>
      <c r="I22" s="31" t="s">
        <v>124</v>
      </c>
      <c r="J22" s="31" t="s">
        <v>146</v>
      </c>
      <c r="K22" s="31" t="s">
        <v>104</v>
      </c>
      <c r="L22" s="31" t="s">
        <v>69</v>
      </c>
      <c r="M22" s="31" t="s">
        <v>147</v>
      </c>
      <c r="N22" s="31" t="s">
        <v>400</v>
      </c>
      <c r="O22" s="24" t="s">
        <v>73</v>
      </c>
      <c r="P22" s="24"/>
      <c r="Q22" s="24"/>
      <c r="R22" s="24"/>
      <c r="S22" s="24"/>
    </row>
    <row r="23" spans="1:19" ht="16">
      <c r="A23" s="19">
        <v>4</v>
      </c>
      <c r="B23" s="20">
        <v>46293</v>
      </c>
      <c r="C23" s="19" t="s">
        <v>67</v>
      </c>
      <c r="D23" s="21" t="s">
        <v>96</v>
      </c>
      <c r="E23" s="41">
        <v>0</v>
      </c>
      <c r="F23" s="21" t="s">
        <v>69</v>
      </c>
      <c r="G23" s="21">
        <v>0</v>
      </c>
      <c r="H23" s="21" t="s">
        <v>97</v>
      </c>
      <c r="I23" s="21" t="s">
        <v>69</v>
      </c>
      <c r="J23" s="21" t="s">
        <v>148</v>
      </c>
      <c r="K23" s="21" t="s">
        <v>149</v>
      </c>
      <c r="L23" s="21" t="s">
        <v>69</v>
      </c>
      <c r="M23" s="21" t="s">
        <v>72</v>
      </c>
      <c r="N23" s="21" t="s">
        <v>150</v>
      </c>
      <c r="O23" s="24" t="s">
        <v>73</v>
      </c>
      <c r="P23" s="24"/>
      <c r="Q23" s="24"/>
      <c r="R23" s="24"/>
      <c r="S23" s="24"/>
    </row>
    <row r="24" spans="1:19" ht="16">
      <c r="A24" s="24">
        <v>4</v>
      </c>
      <c r="B24" s="25">
        <v>46294</v>
      </c>
      <c r="C24" s="24" t="s">
        <v>74</v>
      </c>
      <c r="D24" s="26" t="s">
        <v>151</v>
      </c>
      <c r="E24" s="40">
        <v>6</v>
      </c>
      <c r="F24" s="26" t="s">
        <v>76</v>
      </c>
      <c r="G24" s="26">
        <v>38</v>
      </c>
      <c r="H24" s="26" t="s">
        <v>77</v>
      </c>
      <c r="I24" s="26" t="s">
        <v>94</v>
      </c>
      <c r="J24" s="26" t="s">
        <v>152</v>
      </c>
      <c r="K24" s="26" t="s">
        <v>78</v>
      </c>
      <c r="L24" s="26" t="s">
        <v>69</v>
      </c>
      <c r="M24" s="26" t="s">
        <v>85</v>
      </c>
      <c r="N24" s="26" t="s">
        <v>153</v>
      </c>
      <c r="O24" s="24" t="s">
        <v>73</v>
      </c>
      <c r="P24" s="24"/>
      <c r="Q24" s="24"/>
      <c r="R24" s="24"/>
      <c r="S24" s="24"/>
    </row>
    <row r="25" spans="1:19" ht="32">
      <c r="A25" s="24">
        <v>4</v>
      </c>
      <c r="B25" s="25">
        <v>46295</v>
      </c>
      <c r="C25" s="24" t="s">
        <v>80</v>
      </c>
      <c r="D25" s="26" t="s">
        <v>81</v>
      </c>
      <c r="E25" s="40">
        <v>8</v>
      </c>
      <c r="F25" s="26" t="s">
        <v>76</v>
      </c>
      <c r="G25" s="26">
        <v>50</v>
      </c>
      <c r="H25" s="26" t="s">
        <v>82</v>
      </c>
      <c r="I25" s="26" t="s">
        <v>134</v>
      </c>
      <c r="J25" s="26" t="s">
        <v>154</v>
      </c>
      <c r="K25" s="26" t="s">
        <v>94</v>
      </c>
      <c r="L25" s="26" t="s">
        <v>69</v>
      </c>
      <c r="M25" s="26" t="s">
        <v>85</v>
      </c>
      <c r="N25" s="26" t="s">
        <v>155</v>
      </c>
      <c r="O25" s="24" t="s">
        <v>73</v>
      </c>
      <c r="P25" s="24"/>
      <c r="Q25" s="24"/>
      <c r="R25" s="24"/>
      <c r="S25" s="24"/>
    </row>
    <row r="26" spans="1:19" ht="16">
      <c r="A26" s="24">
        <v>4</v>
      </c>
      <c r="B26" s="25">
        <v>46296</v>
      </c>
      <c r="C26" s="24" t="s">
        <v>86</v>
      </c>
      <c r="D26" s="26" t="s">
        <v>156</v>
      </c>
      <c r="E26" s="40">
        <v>0</v>
      </c>
      <c r="F26" s="26" t="s">
        <v>69</v>
      </c>
      <c r="G26" s="26">
        <v>0</v>
      </c>
      <c r="H26" s="26" t="s">
        <v>103</v>
      </c>
      <c r="I26" s="26" t="s">
        <v>140</v>
      </c>
      <c r="J26" s="26" t="s">
        <v>401</v>
      </c>
      <c r="K26" s="26" t="s">
        <v>118</v>
      </c>
      <c r="L26" s="26" t="s">
        <v>157</v>
      </c>
      <c r="M26" s="26" t="s">
        <v>72</v>
      </c>
      <c r="N26" s="26" t="s">
        <v>158</v>
      </c>
      <c r="O26" s="24" t="s">
        <v>73</v>
      </c>
      <c r="P26" s="24"/>
      <c r="Q26" s="24"/>
      <c r="R26" s="24"/>
      <c r="S26" s="24"/>
    </row>
    <row r="27" spans="1:19" ht="16">
      <c r="A27" s="24">
        <v>4</v>
      </c>
      <c r="B27" s="25">
        <v>46297</v>
      </c>
      <c r="C27" s="24" t="s">
        <v>90</v>
      </c>
      <c r="D27" s="26" t="s">
        <v>91</v>
      </c>
      <c r="E27" s="40">
        <v>5</v>
      </c>
      <c r="F27" s="26" t="s">
        <v>92</v>
      </c>
      <c r="G27" s="26">
        <v>34</v>
      </c>
      <c r="H27" s="26" t="s">
        <v>93</v>
      </c>
      <c r="I27" s="26" t="s">
        <v>94</v>
      </c>
      <c r="J27" s="26" t="s">
        <v>159</v>
      </c>
      <c r="K27" s="26" t="s">
        <v>78</v>
      </c>
      <c r="L27" s="26" t="s">
        <v>69</v>
      </c>
      <c r="M27" s="26" t="s">
        <v>85</v>
      </c>
      <c r="N27" s="26" t="s">
        <v>160</v>
      </c>
      <c r="O27" s="24" t="s">
        <v>73</v>
      </c>
      <c r="P27" s="24"/>
      <c r="Q27" s="24"/>
      <c r="R27" s="24"/>
      <c r="S27" s="24"/>
    </row>
    <row r="28" spans="1:19" ht="16">
      <c r="A28" s="19">
        <v>4</v>
      </c>
      <c r="B28" s="20">
        <v>46298</v>
      </c>
      <c r="C28" s="19" t="s">
        <v>95</v>
      </c>
      <c r="D28" s="21" t="s">
        <v>96</v>
      </c>
      <c r="E28" s="41">
        <v>0</v>
      </c>
      <c r="F28" s="21" t="s">
        <v>69</v>
      </c>
      <c r="G28" s="21">
        <v>0</v>
      </c>
      <c r="H28" s="21" t="s">
        <v>97</v>
      </c>
      <c r="I28" s="21" t="s">
        <v>69</v>
      </c>
      <c r="J28" s="21" t="s">
        <v>122</v>
      </c>
      <c r="K28" s="21" t="s">
        <v>69</v>
      </c>
      <c r="L28" s="21" t="s">
        <v>69</v>
      </c>
      <c r="M28" s="21" t="s">
        <v>72</v>
      </c>
      <c r="N28" s="21" t="s">
        <v>123</v>
      </c>
      <c r="O28" s="24" t="s">
        <v>73</v>
      </c>
      <c r="P28" s="24"/>
      <c r="Q28" s="24"/>
      <c r="R28" s="24"/>
      <c r="S28" s="24"/>
    </row>
    <row r="29" spans="1:19" ht="16">
      <c r="A29" s="29">
        <v>4</v>
      </c>
      <c r="B29" s="30">
        <v>46299</v>
      </c>
      <c r="C29" s="29" t="s">
        <v>100</v>
      </c>
      <c r="D29" s="31" t="s">
        <v>161</v>
      </c>
      <c r="E29" s="42">
        <v>18</v>
      </c>
      <c r="F29" s="31" t="s">
        <v>102</v>
      </c>
      <c r="G29" s="31">
        <v>115</v>
      </c>
      <c r="H29" s="31" t="s">
        <v>77</v>
      </c>
      <c r="I29" s="31" t="s">
        <v>124</v>
      </c>
      <c r="J29" s="31" t="s">
        <v>162</v>
      </c>
      <c r="K29" s="31" t="s">
        <v>104</v>
      </c>
      <c r="L29" s="31" t="s">
        <v>69</v>
      </c>
      <c r="M29" s="31" t="s">
        <v>163</v>
      </c>
      <c r="N29" s="31" t="s">
        <v>164</v>
      </c>
      <c r="O29" s="24" t="s">
        <v>73</v>
      </c>
      <c r="P29" s="24"/>
      <c r="Q29" s="24"/>
      <c r="R29" s="24"/>
      <c r="S29" s="24"/>
    </row>
    <row r="30" spans="1:19" ht="16">
      <c r="A30" s="19">
        <v>5</v>
      </c>
      <c r="B30" s="20">
        <v>46300</v>
      </c>
      <c r="C30" s="19" t="s">
        <v>67</v>
      </c>
      <c r="D30" s="21" t="s">
        <v>96</v>
      </c>
      <c r="E30" s="22">
        <v>0</v>
      </c>
      <c r="F30" s="21" t="s">
        <v>69</v>
      </c>
      <c r="G30" s="23">
        <v>0</v>
      </c>
      <c r="H30" s="21" t="s">
        <v>97</v>
      </c>
      <c r="I30" s="21" t="s">
        <v>69</v>
      </c>
      <c r="J30" s="21" t="s">
        <v>122</v>
      </c>
      <c r="K30" s="21" t="s">
        <v>128</v>
      </c>
      <c r="L30" s="21" t="s">
        <v>69</v>
      </c>
      <c r="M30" s="21" t="s">
        <v>72</v>
      </c>
      <c r="N30" s="21" t="s">
        <v>165</v>
      </c>
      <c r="O30" s="24" t="s">
        <v>73</v>
      </c>
      <c r="P30" s="24"/>
      <c r="Q30" s="24"/>
      <c r="R30" s="24"/>
      <c r="S30" s="24"/>
    </row>
    <row r="31" spans="1:19" ht="16">
      <c r="A31" s="24">
        <v>5</v>
      </c>
      <c r="B31" s="25">
        <v>46301</v>
      </c>
      <c r="C31" s="24" t="s">
        <v>74</v>
      </c>
      <c r="D31" s="26" t="s">
        <v>75</v>
      </c>
      <c r="E31" s="27">
        <v>8</v>
      </c>
      <c r="F31" s="26" t="s">
        <v>76</v>
      </c>
      <c r="G31" s="28">
        <v>50.2</v>
      </c>
      <c r="H31" s="26" t="s">
        <v>77</v>
      </c>
      <c r="I31" s="26" t="s">
        <v>105</v>
      </c>
      <c r="J31" s="26" t="s">
        <v>130</v>
      </c>
      <c r="K31" s="26" t="s">
        <v>78</v>
      </c>
      <c r="L31" s="26" t="s">
        <v>166</v>
      </c>
      <c r="M31" s="26" t="s">
        <v>85</v>
      </c>
      <c r="N31" s="26" t="s">
        <v>167</v>
      </c>
      <c r="O31" s="24" t="s">
        <v>73</v>
      </c>
      <c r="P31" s="24"/>
      <c r="Q31" s="24"/>
      <c r="R31" s="24"/>
      <c r="S31" s="24"/>
    </row>
    <row r="32" spans="1:19" ht="16">
      <c r="A32" s="24">
        <v>5</v>
      </c>
      <c r="B32" s="25">
        <v>46302</v>
      </c>
      <c r="C32" s="24" t="s">
        <v>80</v>
      </c>
      <c r="D32" s="26" t="s">
        <v>109</v>
      </c>
      <c r="E32" s="27">
        <v>10</v>
      </c>
      <c r="F32" s="26" t="s">
        <v>110</v>
      </c>
      <c r="G32" s="28">
        <v>61.2</v>
      </c>
      <c r="H32" s="26" t="s">
        <v>111</v>
      </c>
      <c r="I32" s="26" t="s">
        <v>168</v>
      </c>
      <c r="J32" s="26" t="s">
        <v>169</v>
      </c>
      <c r="K32" s="26" t="s">
        <v>168</v>
      </c>
      <c r="L32" s="26" t="s">
        <v>69</v>
      </c>
      <c r="M32" s="26" t="s">
        <v>170</v>
      </c>
      <c r="N32" s="26" t="s">
        <v>171</v>
      </c>
      <c r="O32" s="24" t="s">
        <v>73</v>
      </c>
      <c r="P32" s="24"/>
      <c r="Q32" s="24"/>
      <c r="R32" s="24"/>
      <c r="S32" s="24"/>
    </row>
    <row r="33" spans="1:19" ht="16">
      <c r="A33" s="19">
        <v>5</v>
      </c>
      <c r="B33" s="20">
        <v>46303</v>
      </c>
      <c r="C33" s="19" t="s">
        <v>86</v>
      </c>
      <c r="D33" s="21" t="s">
        <v>68</v>
      </c>
      <c r="E33" s="22">
        <v>0</v>
      </c>
      <c r="F33" s="21" t="s">
        <v>69</v>
      </c>
      <c r="G33" s="23">
        <v>0</v>
      </c>
      <c r="H33" s="21" t="s">
        <v>70</v>
      </c>
      <c r="I33" s="21" t="s">
        <v>69</v>
      </c>
      <c r="J33" s="21" t="s">
        <v>172</v>
      </c>
      <c r="K33" s="21" t="s">
        <v>173</v>
      </c>
      <c r="L33" s="21" t="s">
        <v>69</v>
      </c>
      <c r="M33" s="21" t="s">
        <v>72</v>
      </c>
      <c r="N33" s="21" t="s">
        <v>174</v>
      </c>
      <c r="O33" s="24" t="s">
        <v>73</v>
      </c>
      <c r="P33" s="24"/>
      <c r="Q33" s="24"/>
      <c r="R33" s="24"/>
      <c r="S33" s="24"/>
    </row>
    <row r="34" spans="1:19" ht="16">
      <c r="A34" s="24">
        <v>5</v>
      </c>
      <c r="B34" s="25">
        <v>46304</v>
      </c>
      <c r="C34" s="24" t="s">
        <v>90</v>
      </c>
      <c r="D34" s="26" t="s">
        <v>91</v>
      </c>
      <c r="E34" s="27">
        <v>6</v>
      </c>
      <c r="F34" s="26" t="s">
        <v>92</v>
      </c>
      <c r="G34" s="28">
        <v>40.5</v>
      </c>
      <c r="H34" s="26" t="s">
        <v>93</v>
      </c>
      <c r="I34" s="26" t="s">
        <v>94</v>
      </c>
      <c r="J34" s="26" t="s">
        <v>175</v>
      </c>
      <c r="K34" s="26" t="s">
        <v>78</v>
      </c>
      <c r="L34" s="26" t="s">
        <v>69</v>
      </c>
      <c r="M34" s="26" t="s">
        <v>85</v>
      </c>
      <c r="N34" s="26" t="s">
        <v>176</v>
      </c>
      <c r="O34" s="24" t="s">
        <v>73</v>
      </c>
      <c r="P34" s="24"/>
      <c r="Q34" s="24"/>
      <c r="R34" s="24"/>
      <c r="S34" s="24"/>
    </row>
    <row r="35" spans="1:19" ht="16">
      <c r="A35" s="19">
        <v>5</v>
      </c>
      <c r="B35" s="20">
        <v>46305</v>
      </c>
      <c r="C35" s="19" t="s">
        <v>95</v>
      </c>
      <c r="D35" s="21" t="s">
        <v>96</v>
      </c>
      <c r="E35" s="22">
        <v>0</v>
      </c>
      <c r="F35" s="21" t="s">
        <v>69</v>
      </c>
      <c r="G35" s="23">
        <v>0</v>
      </c>
      <c r="H35" s="21" t="s">
        <v>97</v>
      </c>
      <c r="I35" s="21" t="s">
        <v>69</v>
      </c>
      <c r="J35" s="21" t="s">
        <v>122</v>
      </c>
      <c r="K35" s="21" t="s">
        <v>69</v>
      </c>
      <c r="L35" s="21" t="s">
        <v>69</v>
      </c>
      <c r="M35" s="21" t="s">
        <v>177</v>
      </c>
      <c r="N35" s="21" t="s">
        <v>123</v>
      </c>
      <c r="O35" s="24" t="s">
        <v>73</v>
      </c>
      <c r="P35" s="24"/>
      <c r="Q35" s="24"/>
      <c r="R35" s="24"/>
      <c r="S35" s="24"/>
    </row>
    <row r="36" spans="1:19" ht="32">
      <c r="A36" s="29">
        <v>5</v>
      </c>
      <c r="B36" s="30">
        <v>46306</v>
      </c>
      <c r="C36" s="29" t="s">
        <v>100</v>
      </c>
      <c r="D36" s="31" t="s">
        <v>178</v>
      </c>
      <c r="E36" s="32">
        <v>27</v>
      </c>
      <c r="F36" s="31" t="s">
        <v>102</v>
      </c>
      <c r="G36" s="33">
        <v>170.91</v>
      </c>
      <c r="H36" s="31" t="s">
        <v>133</v>
      </c>
      <c r="I36" s="31" t="s">
        <v>124</v>
      </c>
      <c r="J36" s="31" t="s">
        <v>179</v>
      </c>
      <c r="K36" s="31" t="s">
        <v>104</v>
      </c>
      <c r="L36" s="31" t="s">
        <v>69</v>
      </c>
      <c r="M36" s="31" t="s">
        <v>180</v>
      </c>
      <c r="N36" s="31" t="s">
        <v>181</v>
      </c>
      <c r="O36" s="24" t="s">
        <v>73</v>
      </c>
      <c r="P36" s="24"/>
      <c r="Q36" s="24"/>
      <c r="R36" s="24"/>
      <c r="S36" s="24"/>
    </row>
    <row r="37" spans="1:19" ht="16">
      <c r="A37" s="19">
        <v>6</v>
      </c>
      <c r="B37" s="20">
        <v>46307</v>
      </c>
      <c r="C37" s="19" t="s">
        <v>67</v>
      </c>
      <c r="D37" s="21" t="s">
        <v>182</v>
      </c>
      <c r="E37" s="22">
        <v>0</v>
      </c>
      <c r="F37" s="21" t="s">
        <v>69</v>
      </c>
      <c r="G37" s="23">
        <v>0</v>
      </c>
      <c r="H37" s="21" t="s">
        <v>97</v>
      </c>
      <c r="I37" s="21" t="s">
        <v>69</v>
      </c>
      <c r="J37" s="21" t="s">
        <v>183</v>
      </c>
      <c r="K37" s="21" t="s">
        <v>128</v>
      </c>
      <c r="L37" s="21" t="s">
        <v>69</v>
      </c>
      <c r="M37" s="21" t="s">
        <v>72</v>
      </c>
      <c r="N37" s="21" t="s">
        <v>99</v>
      </c>
      <c r="O37" s="24" t="s">
        <v>73</v>
      </c>
      <c r="P37" s="24"/>
      <c r="Q37" s="24"/>
      <c r="R37" s="24"/>
      <c r="S37" s="24"/>
    </row>
    <row r="38" spans="1:19" ht="16">
      <c r="A38" s="24">
        <v>6</v>
      </c>
      <c r="B38" s="25">
        <v>46308</v>
      </c>
      <c r="C38" s="24" t="s">
        <v>74</v>
      </c>
      <c r="D38" s="26" t="s">
        <v>151</v>
      </c>
      <c r="E38" s="27">
        <v>7</v>
      </c>
      <c r="F38" s="26" t="s">
        <v>76</v>
      </c>
      <c r="G38" s="28">
        <v>43.925000000000004</v>
      </c>
      <c r="H38" s="26" t="s">
        <v>77</v>
      </c>
      <c r="I38" s="26" t="s">
        <v>105</v>
      </c>
      <c r="J38" s="26" t="s">
        <v>184</v>
      </c>
      <c r="K38" s="26" t="s">
        <v>78</v>
      </c>
      <c r="L38" s="26" t="s">
        <v>69</v>
      </c>
      <c r="M38" s="26" t="s">
        <v>85</v>
      </c>
      <c r="N38" s="26" t="s">
        <v>185</v>
      </c>
      <c r="O38" s="24" t="s">
        <v>73</v>
      </c>
      <c r="P38" s="24"/>
      <c r="Q38" s="24"/>
      <c r="R38" s="24"/>
      <c r="S38" s="24"/>
    </row>
    <row r="39" spans="1:19" ht="32">
      <c r="A39" s="24">
        <v>6</v>
      </c>
      <c r="B39" s="25">
        <v>46309</v>
      </c>
      <c r="C39" s="24" t="s">
        <v>80</v>
      </c>
      <c r="D39" s="26" t="s">
        <v>186</v>
      </c>
      <c r="E39" s="27">
        <v>9</v>
      </c>
      <c r="F39" s="26" t="s">
        <v>187</v>
      </c>
      <c r="G39" s="28">
        <v>56.25</v>
      </c>
      <c r="H39" s="26" t="s">
        <v>188</v>
      </c>
      <c r="I39" s="26" t="s">
        <v>168</v>
      </c>
      <c r="J39" s="26" t="s">
        <v>189</v>
      </c>
      <c r="K39" s="26" t="s">
        <v>168</v>
      </c>
      <c r="L39" s="26" t="s">
        <v>69</v>
      </c>
      <c r="M39" s="26" t="s">
        <v>85</v>
      </c>
      <c r="N39" s="26" t="s">
        <v>190</v>
      </c>
      <c r="O39" s="24" t="s">
        <v>73</v>
      </c>
      <c r="P39" s="24"/>
      <c r="Q39" s="24"/>
      <c r="R39" s="24"/>
      <c r="S39" s="24"/>
    </row>
    <row r="40" spans="1:19" ht="16">
      <c r="A40" s="24">
        <v>6</v>
      </c>
      <c r="B40" s="25">
        <v>46310</v>
      </c>
      <c r="C40" s="24" t="s">
        <v>86</v>
      </c>
      <c r="D40" s="26" t="s">
        <v>191</v>
      </c>
      <c r="E40" s="27">
        <v>0</v>
      </c>
      <c r="F40" s="26" t="s">
        <v>69</v>
      </c>
      <c r="G40" s="28">
        <v>0</v>
      </c>
      <c r="H40" s="26" t="s">
        <v>77</v>
      </c>
      <c r="I40" s="26" t="s">
        <v>140</v>
      </c>
      <c r="J40" s="26" t="s">
        <v>192</v>
      </c>
      <c r="K40" s="26" t="s">
        <v>88</v>
      </c>
      <c r="L40" s="26" t="s">
        <v>193</v>
      </c>
      <c r="M40" s="26" t="s">
        <v>72</v>
      </c>
      <c r="N40" s="26" t="s">
        <v>194</v>
      </c>
      <c r="O40" s="24" t="s">
        <v>73</v>
      </c>
      <c r="P40" s="24"/>
      <c r="Q40" s="24"/>
      <c r="R40" s="24"/>
      <c r="S40" s="24"/>
    </row>
    <row r="41" spans="1:19" ht="16">
      <c r="A41" s="24">
        <v>6</v>
      </c>
      <c r="B41" s="25">
        <v>46311</v>
      </c>
      <c r="C41" s="24" t="s">
        <v>90</v>
      </c>
      <c r="D41" s="26" t="s">
        <v>91</v>
      </c>
      <c r="E41" s="27">
        <v>5</v>
      </c>
      <c r="F41" s="26" t="s">
        <v>92</v>
      </c>
      <c r="G41" s="28">
        <v>33.75</v>
      </c>
      <c r="H41" s="26" t="s">
        <v>93</v>
      </c>
      <c r="I41" s="26" t="s">
        <v>94</v>
      </c>
      <c r="J41" s="26" t="s">
        <v>120</v>
      </c>
      <c r="K41" s="26" t="s">
        <v>78</v>
      </c>
      <c r="L41" s="26" t="s">
        <v>69</v>
      </c>
      <c r="M41" s="26" t="s">
        <v>85</v>
      </c>
      <c r="N41" s="26" t="s">
        <v>195</v>
      </c>
      <c r="O41" s="24" t="s">
        <v>73</v>
      </c>
      <c r="P41" s="24"/>
      <c r="Q41" s="24"/>
      <c r="R41" s="24"/>
      <c r="S41" s="24"/>
    </row>
    <row r="42" spans="1:19" ht="16">
      <c r="A42" s="19">
        <v>6</v>
      </c>
      <c r="B42" s="20">
        <v>46312</v>
      </c>
      <c r="C42" s="19" t="s">
        <v>95</v>
      </c>
      <c r="D42" s="21" t="s">
        <v>96</v>
      </c>
      <c r="E42" s="22">
        <v>0</v>
      </c>
      <c r="F42" s="21" t="s">
        <v>69</v>
      </c>
      <c r="G42" s="23">
        <v>0</v>
      </c>
      <c r="H42" s="21" t="s">
        <v>97</v>
      </c>
      <c r="I42" s="21" t="s">
        <v>69</v>
      </c>
      <c r="J42" s="21" t="s">
        <v>196</v>
      </c>
      <c r="K42" s="21" t="s">
        <v>69</v>
      </c>
      <c r="L42" s="21" t="s">
        <v>69</v>
      </c>
      <c r="M42" s="21" t="s">
        <v>197</v>
      </c>
      <c r="N42" s="21" t="s">
        <v>123</v>
      </c>
      <c r="O42" s="24" t="s">
        <v>73</v>
      </c>
      <c r="P42" s="24"/>
      <c r="Q42" s="24"/>
      <c r="R42" s="24"/>
      <c r="S42" s="24"/>
    </row>
    <row r="43" spans="1:19" ht="32">
      <c r="A43" s="29">
        <v>6</v>
      </c>
      <c r="B43" s="30">
        <v>46313</v>
      </c>
      <c r="C43" s="29" t="s">
        <v>100</v>
      </c>
      <c r="D43" s="31" t="s">
        <v>198</v>
      </c>
      <c r="E43" s="32">
        <v>30</v>
      </c>
      <c r="F43" s="31" t="s">
        <v>102</v>
      </c>
      <c r="G43" s="33">
        <v>190.8</v>
      </c>
      <c r="H43" s="31" t="s">
        <v>103</v>
      </c>
      <c r="I43" s="31" t="s">
        <v>124</v>
      </c>
      <c r="J43" s="31" t="s">
        <v>199</v>
      </c>
      <c r="K43" s="31" t="s">
        <v>200</v>
      </c>
      <c r="L43" s="31" t="s">
        <v>69</v>
      </c>
      <c r="M43" s="31" t="s">
        <v>201</v>
      </c>
      <c r="N43" s="31" t="s">
        <v>202</v>
      </c>
      <c r="O43" s="24" t="s">
        <v>73</v>
      </c>
      <c r="P43" s="24"/>
      <c r="Q43" s="24"/>
      <c r="R43" s="24"/>
      <c r="S43" s="24"/>
    </row>
    <row r="44" spans="1:19" ht="16">
      <c r="A44" s="19">
        <v>7</v>
      </c>
      <c r="B44" s="20">
        <v>46314</v>
      </c>
      <c r="C44" s="19" t="s">
        <v>67</v>
      </c>
      <c r="D44" s="21" t="s">
        <v>96</v>
      </c>
      <c r="E44" s="22">
        <v>0</v>
      </c>
      <c r="F44" s="21" t="s">
        <v>69</v>
      </c>
      <c r="G44" s="23">
        <v>0</v>
      </c>
      <c r="H44" s="21" t="s">
        <v>97</v>
      </c>
      <c r="I44" s="21" t="s">
        <v>69</v>
      </c>
      <c r="J44" s="21" t="s">
        <v>203</v>
      </c>
      <c r="K44" s="21" t="s">
        <v>149</v>
      </c>
      <c r="L44" s="21" t="s">
        <v>69</v>
      </c>
      <c r="M44" s="21" t="s">
        <v>72</v>
      </c>
      <c r="N44" s="21" t="s">
        <v>204</v>
      </c>
      <c r="O44" s="24" t="s">
        <v>73</v>
      </c>
      <c r="P44" s="24"/>
      <c r="Q44" s="24"/>
      <c r="R44" s="24"/>
      <c r="S44" s="24"/>
    </row>
    <row r="45" spans="1:19" ht="16">
      <c r="A45" s="24">
        <v>7</v>
      </c>
      <c r="B45" s="25">
        <v>46315</v>
      </c>
      <c r="C45" s="24" t="s">
        <v>74</v>
      </c>
      <c r="D45" s="26" t="s">
        <v>151</v>
      </c>
      <c r="E45" s="27">
        <v>7</v>
      </c>
      <c r="F45" s="26" t="s">
        <v>76</v>
      </c>
      <c r="G45" s="28">
        <v>43.925000000000004</v>
      </c>
      <c r="H45" s="26" t="s">
        <v>77</v>
      </c>
      <c r="I45" s="26" t="s">
        <v>94</v>
      </c>
      <c r="J45" s="26" t="s">
        <v>106</v>
      </c>
      <c r="K45" s="26" t="s">
        <v>78</v>
      </c>
      <c r="L45" s="26" t="s">
        <v>69</v>
      </c>
      <c r="M45" s="26" t="s">
        <v>85</v>
      </c>
      <c r="N45" s="26" t="s">
        <v>205</v>
      </c>
      <c r="O45" s="24" t="s">
        <v>73</v>
      </c>
      <c r="P45" s="24"/>
      <c r="Q45" s="24"/>
      <c r="R45" s="24"/>
      <c r="S45" s="24"/>
    </row>
    <row r="46" spans="1:19" ht="16">
      <c r="A46" s="24">
        <v>7</v>
      </c>
      <c r="B46" s="25">
        <v>46316</v>
      </c>
      <c r="C46" s="24" t="s">
        <v>80</v>
      </c>
      <c r="D46" s="26" t="s">
        <v>206</v>
      </c>
      <c r="E46" s="27">
        <v>8</v>
      </c>
      <c r="F46" s="26" t="s">
        <v>187</v>
      </c>
      <c r="G46" s="28">
        <v>50</v>
      </c>
      <c r="H46" s="26" t="s">
        <v>188</v>
      </c>
      <c r="I46" s="26" t="s">
        <v>168</v>
      </c>
      <c r="J46" s="26" t="s">
        <v>207</v>
      </c>
      <c r="K46" s="26" t="s">
        <v>168</v>
      </c>
      <c r="L46" s="26" t="s">
        <v>69</v>
      </c>
      <c r="M46" s="26" t="s">
        <v>85</v>
      </c>
      <c r="N46" s="26" t="s">
        <v>190</v>
      </c>
      <c r="O46" s="24" t="s">
        <v>73</v>
      </c>
      <c r="P46" s="24"/>
      <c r="Q46" s="24"/>
      <c r="R46" s="24"/>
      <c r="S46" s="24"/>
    </row>
    <row r="47" spans="1:19" ht="16">
      <c r="A47" s="24">
        <v>7</v>
      </c>
      <c r="B47" s="25">
        <v>46317</v>
      </c>
      <c r="C47" s="24" t="s">
        <v>86</v>
      </c>
      <c r="D47" s="26" t="s">
        <v>208</v>
      </c>
      <c r="E47" s="27">
        <v>0</v>
      </c>
      <c r="F47" s="26" t="s">
        <v>69</v>
      </c>
      <c r="G47" s="28">
        <v>0</v>
      </c>
      <c r="H47" s="26" t="s">
        <v>77</v>
      </c>
      <c r="I47" s="26" t="s">
        <v>140</v>
      </c>
      <c r="J47" s="26" t="s">
        <v>209</v>
      </c>
      <c r="K47" s="26" t="s">
        <v>210</v>
      </c>
      <c r="L47" s="26" t="s">
        <v>211</v>
      </c>
      <c r="M47" s="26" t="s">
        <v>72</v>
      </c>
      <c r="N47" s="26" t="s">
        <v>212</v>
      </c>
      <c r="O47" s="24" t="s">
        <v>73</v>
      </c>
      <c r="P47" s="24"/>
      <c r="Q47" s="24"/>
      <c r="R47" s="24"/>
      <c r="S47" s="24"/>
    </row>
    <row r="48" spans="1:19" ht="16">
      <c r="A48" s="24">
        <v>7</v>
      </c>
      <c r="B48" s="25">
        <v>46318</v>
      </c>
      <c r="C48" s="24" t="s">
        <v>90</v>
      </c>
      <c r="D48" s="26" t="s">
        <v>91</v>
      </c>
      <c r="E48" s="27">
        <v>5</v>
      </c>
      <c r="F48" s="26" t="s">
        <v>92</v>
      </c>
      <c r="G48" s="28">
        <v>33.75</v>
      </c>
      <c r="H48" s="26" t="s">
        <v>93</v>
      </c>
      <c r="I48" s="26" t="s">
        <v>94</v>
      </c>
      <c r="J48" s="26" t="s">
        <v>120</v>
      </c>
      <c r="K48" s="26" t="s">
        <v>213</v>
      </c>
      <c r="L48" s="26" t="s">
        <v>69</v>
      </c>
      <c r="M48" s="26" t="s">
        <v>85</v>
      </c>
      <c r="N48" s="26" t="s">
        <v>214</v>
      </c>
      <c r="O48" s="24" t="s">
        <v>73</v>
      </c>
      <c r="P48" s="24"/>
      <c r="Q48" s="24"/>
      <c r="R48" s="24"/>
      <c r="S48" s="24"/>
    </row>
    <row r="49" spans="1:19" ht="16">
      <c r="A49" s="19">
        <v>7</v>
      </c>
      <c r="B49" s="20">
        <v>46319</v>
      </c>
      <c r="C49" s="19" t="s">
        <v>95</v>
      </c>
      <c r="D49" s="21" t="s">
        <v>96</v>
      </c>
      <c r="E49" s="22">
        <v>0</v>
      </c>
      <c r="F49" s="21" t="s">
        <v>69</v>
      </c>
      <c r="G49" s="23">
        <v>0</v>
      </c>
      <c r="H49" s="21" t="s">
        <v>97</v>
      </c>
      <c r="I49" s="21" t="s">
        <v>69</v>
      </c>
      <c r="J49" s="21" t="s">
        <v>122</v>
      </c>
      <c r="K49" s="21" t="s">
        <v>69</v>
      </c>
      <c r="L49" s="21" t="s">
        <v>69</v>
      </c>
      <c r="M49" s="21" t="s">
        <v>72</v>
      </c>
      <c r="N49" s="21" t="s">
        <v>123</v>
      </c>
      <c r="O49" s="24" t="s">
        <v>73</v>
      </c>
      <c r="P49" s="24"/>
      <c r="Q49" s="24"/>
      <c r="R49" s="24"/>
      <c r="S49" s="24"/>
    </row>
    <row r="50" spans="1:19" ht="16">
      <c r="A50" s="29">
        <v>7</v>
      </c>
      <c r="B50" s="30">
        <v>46320</v>
      </c>
      <c r="C50" s="29" t="s">
        <v>100</v>
      </c>
      <c r="D50" s="31" t="s">
        <v>215</v>
      </c>
      <c r="E50" s="32">
        <v>22</v>
      </c>
      <c r="F50" s="31" t="s">
        <v>102</v>
      </c>
      <c r="G50" s="33">
        <v>140.80000000000001</v>
      </c>
      <c r="H50" s="31" t="s">
        <v>77</v>
      </c>
      <c r="I50" s="31" t="s">
        <v>124</v>
      </c>
      <c r="J50" s="31" t="s">
        <v>216</v>
      </c>
      <c r="K50" s="31" t="s">
        <v>104</v>
      </c>
      <c r="L50" s="31" t="s">
        <v>69</v>
      </c>
      <c r="M50" s="31" t="s">
        <v>217</v>
      </c>
      <c r="N50" s="31" t="s">
        <v>218</v>
      </c>
      <c r="O50" s="24" t="s">
        <v>73</v>
      </c>
      <c r="P50" s="24"/>
      <c r="Q50" s="24"/>
      <c r="R50" s="24"/>
      <c r="S50" s="24"/>
    </row>
    <row r="51" spans="1:19" ht="16">
      <c r="A51" s="19">
        <v>8</v>
      </c>
      <c r="B51" s="20">
        <v>46321</v>
      </c>
      <c r="C51" s="19" t="s">
        <v>67</v>
      </c>
      <c r="D51" s="21" t="s">
        <v>96</v>
      </c>
      <c r="E51" s="22">
        <v>0</v>
      </c>
      <c r="F51" s="21" t="s">
        <v>69</v>
      </c>
      <c r="G51" s="23">
        <v>0</v>
      </c>
      <c r="H51" s="21" t="s">
        <v>97</v>
      </c>
      <c r="I51" s="21" t="s">
        <v>69</v>
      </c>
      <c r="J51" s="21" t="s">
        <v>219</v>
      </c>
      <c r="K51" s="21" t="s">
        <v>149</v>
      </c>
      <c r="L51" s="21" t="s">
        <v>69</v>
      </c>
      <c r="M51" s="21" t="s">
        <v>72</v>
      </c>
      <c r="N51" s="21" t="s">
        <v>69</v>
      </c>
      <c r="O51" s="24" t="s">
        <v>73</v>
      </c>
      <c r="P51" s="24"/>
      <c r="Q51" s="24"/>
      <c r="R51" s="24"/>
      <c r="S51" s="24"/>
    </row>
    <row r="52" spans="1:19" ht="16">
      <c r="A52" s="24">
        <v>8</v>
      </c>
      <c r="B52" s="25">
        <v>46322</v>
      </c>
      <c r="C52" s="24" t="s">
        <v>74</v>
      </c>
      <c r="D52" s="26" t="s">
        <v>151</v>
      </c>
      <c r="E52" s="27">
        <v>6</v>
      </c>
      <c r="F52" s="26" t="s">
        <v>76</v>
      </c>
      <c r="G52" s="28">
        <v>37.650000000000006</v>
      </c>
      <c r="H52" s="26" t="s">
        <v>77</v>
      </c>
      <c r="I52" s="26" t="s">
        <v>94</v>
      </c>
      <c r="J52" s="26" t="s">
        <v>152</v>
      </c>
      <c r="K52" s="26" t="s">
        <v>213</v>
      </c>
      <c r="L52" s="26" t="s">
        <v>69</v>
      </c>
      <c r="M52" s="26" t="s">
        <v>85</v>
      </c>
      <c r="N52" s="26" t="s">
        <v>205</v>
      </c>
      <c r="O52" s="24" t="s">
        <v>73</v>
      </c>
      <c r="P52" s="24"/>
      <c r="Q52" s="24"/>
      <c r="R52" s="24"/>
      <c r="S52" s="24"/>
    </row>
    <row r="53" spans="1:19" ht="32">
      <c r="A53" s="24">
        <v>8</v>
      </c>
      <c r="B53" s="25">
        <v>46323</v>
      </c>
      <c r="C53" s="24" t="s">
        <v>80</v>
      </c>
      <c r="D53" s="26" t="s">
        <v>81</v>
      </c>
      <c r="E53" s="27">
        <v>6</v>
      </c>
      <c r="F53" s="26" t="s">
        <v>76</v>
      </c>
      <c r="G53" s="28">
        <v>37.799999999999997</v>
      </c>
      <c r="H53" s="26" t="s">
        <v>82</v>
      </c>
      <c r="I53" s="26" t="s">
        <v>134</v>
      </c>
      <c r="J53" s="26" t="s">
        <v>220</v>
      </c>
      <c r="K53" s="26" t="s">
        <v>94</v>
      </c>
      <c r="L53" s="26" t="s">
        <v>69</v>
      </c>
      <c r="M53" s="26" t="s">
        <v>85</v>
      </c>
      <c r="N53" s="26" t="s">
        <v>221</v>
      </c>
      <c r="O53" s="24" t="s">
        <v>73</v>
      </c>
      <c r="P53" s="24"/>
      <c r="Q53" s="24"/>
      <c r="R53" s="24"/>
      <c r="S53" s="24"/>
    </row>
    <row r="54" spans="1:19" ht="16">
      <c r="A54" s="19">
        <v>8</v>
      </c>
      <c r="B54" s="20">
        <v>46324</v>
      </c>
      <c r="C54" s="19" t="s">
        <v>86</v>
      </c>
      <c r="D54" s="21" t="s">
        <v>96</v>
      </c>
      <c r="E54" s="22">
        <v>0</v>
      </c>
      <c r="F54" s="21" t="s">
        <v>69</v>
      </c>
      <c r="G54" s="23">
        <v>0</v>
      </c>
      <c r="H54" s="21" t="s">
        <v>97</v>
      </c>
      <c r="I54" s="21" t="s">
        <v>69</v>
      </c>
      <c r="J54" s="21" t="s">
        <v>222</v>
      </c>
      <c r="K54" s="21" t="s">
        <v>128</v>
      </c>
      <c r="L54" s="21" t="s">
        <v>69</v>
      </c>
      <c r="M54" s="21" t="s">
        <v>72</v>
      </c>
      <c r="N54" s="21" t="s">
        <v>69</v>
      </c>
      <c r="O54" s="24" t="s">
        <v>73</v>
      </c>
      <c r="P54" s="24"/>
      <c r="Q54" s="24"/>
      <c r="R54" s="24"/>
      <c r="S54" s="24"/>
    </row>
    <row r="55" spans="1:19" ht="16">
      <c r="A55" s="24">
        <v>8</v>
      </c>
      <c r="B55" s="25">
        <v>46325</v>
      </c>
      <c r="C55" s="24" t="s">
        <v>90</v>
      </c>
      <c r="D55" s="26" t="s">
        <v>91</v>
      </c>
      <c r="E55" s="27">
        <v>4</v>
      </c>
      <c r="F55" s="26" t="s">
        <v>92</v>
      </c>
      <c r="G55" s="28">
        <v>27</v>
      </c>
      <c r="H55" s="26" t="s">
        <v>93</v>
      </c>
      <c r="I55" s="26" t="s">
        <v>94</v>
      </c>
      <c r="J55" s="26" t="s">
        <v>223</v>
      </c>
      <c r="K55" s="26" t="s">
        <v>213</v>
      </c>
      <c r="L55" s="26" t="s">
        <v>69</v>
      </c>
      <c r="M55" s="26" t="s">
        <v>85</v>
      </c>
      <c r="N55" s="26" t="s">
        <v>69</v>
      </c>
      <c r="O55" s="24" t="s">
        <v>73</v>
      </c>
      <c r="P55" s="24"/>
      <c r="Q55" s="24"/>
      <c r="R55" s="24"/>
      <c r="S55" s="24"/>
    </row>
    <row r="56" spans="1:19" ht="16">
      <c r="A56" s="19">
        <v>8</v>
      </c>
      <c r="B56" s="20">
        <v>46326</v>
      </c>
      <c r="C56" s="19" t="s">
        <v>95</v>
      </c>
      <c r="D56" s="21" t="s">
        <v>96</v>
      </c>
      <c r="E56" s="22">
        <v>0</v>
      </c>
      <c r="F56" s="21" t="s">
        <v>69</v>
      </c>
      <c r="G56" s="23">
        <v>0</v>
      </c>
      <c r="H56" s="21" t="s">
        <v>97</v>
      </c>
      <c r="I56" s="21" t="s">
        <v>69</v>
      </c>
      <c r="J56" s="21" t="s">
        <v>122</v>
      </c>
      <c r="K56" s="21" t="s">
        <v>69</v>
      </c>
      <c r="L56" s="21" t="s">
        <v>69</v>
      </c>
      <c r="M56" s="21" t="s">
        <v>72</v>
      </c>
      <c r="N56" s="21" t="s">
        <v>69</v>
      </c>
      <c r="O56" s="24" t="s">
        <v>73</v>
      </c>
      <c r="P56" s="24"/>
      <c r="Q56" s="24"/>
      <c r="R56" s="24"/>
      <c r="S56" s="24"/>
    </row>
    <row r="57" spans="1:19" ht="16">
      <c r="A57" s="29">
        <v>8</v>
      </c>
      <c r="B57" s="30">
        <v>46327</v>
      </c>
      <c r="C57" s="29" t="s">
        <v>100</v>
      </c>
      <c r="D57" s="31" t="s">
        <v>224</v>
      </c>
      <c r="E57" s="32">
        <v>14</v>
      </c>
      <c r="F57" s="31" t="s">
        <v>102</v>
      </c>
      <c r="G57" s="33">
        <v>89.600000000000009</v>
      </c>
      <c r="H57" s="31" t="s">
        <v>77</v>
      </c>
      <c r="I57" s="31" t="s">
        <v>124</v>
      </c>
      <c r="J57" s="31" t="s">
        <v>225</v>
      </c>
      <c r="K57" s="31" t="s">
        <v>226</v>
      </c>
      <c r="L57" s="31" t="s">
        <v>69</v>
      </c>
      <c r="M57" s="31" t="s">
        <v>227</v>
      </c>
      <c r="N57" s="31" t="s">
        <v>228</v>
      </c>
      <c r="O57" s="24" t="s">
        <v>73</v>
      </c>
      <c r="P57" s="24"/>
      <c r="Q57" s="24"/>
      <c r="R57" s="24"/>
      <c r="S57" s="24"/>
    </row>
    <row r="58" spans="1:19" ht="16">
      <c r="A58" s="19">
        <v>9</v>
      </c>
      <c r="B58" s="20">
        <v>46328</v>
      </c>
      <c r="C58" s="19" t="s">
        <v>67</v>
      </c>
      <c r="D58" s="21" t="s">
        <v>96</v>
      </c>
      <c r="E58" s="22">
        <v>0</v>
      </c>
      <c r="F58" s="21" t="s">
        <v>69</v>
      </c>
      <c r="G58" s="23">
        <v>0</v>
      </c>
      <c r="H58" s="21" t="s">
        <v>97</v>
      </c>
      <c r="I58" s="21" t="s">
        <v>69</v>
      </c>
      <c r="J58" s="21" t="s">
        <v>229</v>
      </c>
      <c r="K58" s="21" t="s">
        <v>230</v>
      </c>
      <c r="L58" s="21" t="s">
        <v>69</v>
      </c>
      <c r="M58" s="21" t="s">
        <v>72</v>
      </c>
      <c r="N58" s="21" t="s">
        <v>231</v>
      </c>
      <c r="O58" s="24" t="s">
        <v>73</v>
      </c>
      <c r="P58" s="24"/>
      <c r="Q58" s="24"/>
      <c r="R58" s="24"/>
      <c r="S58" s="24"/>
    </row>
    <row r="59" spans="1:19" ht="16">
      <c r="A59" s="24">
        <v>9</v>
      </c>
      <c r="B59" s="25">
        <v>46329</v>
      </c>
      <c r="C59" s="24" t="s">
        <v>74</v>
      </c>
      <c r="D59" s="26" t="s">
        <v>151</v>
      </c>
      <c r="E59" s="27">
        <v>5</v>
      </c>
      <c r="F59" s="26" t="s">
        <v>76</v>
      </c>
      <c r="G59" s="28">
        <v>31.375</v>
      </c>
      <c r="H59" s="26" t="s">
        <v>77</v>
      </c>
      <c r="I59" s="26" t="s">
        <v>94</v>
      </c>
      <c r="J59" s="26" t="s">
        <v>232</v>
      </c>
      <c r="K59" s="26" t="s">
        <v>213</v>
      </c>
      <c r="L59" s="26" t="s">
        <v>69</v>
      </c>
      <c r="M59" s="26" t="s">
        <v>85</v>
      </c>
      <c r="N59" s="26" t="s">
        <v>233</v>
      </c>
      <c r="O59" s="24" t="s">
        <v>73</v>
      </c>
      <c r="P59" s="24"/>
      <c r="Q59" s="24"/>
      <c r="R59" s="24"/>
      <c r="S59" s="24"/>
    </row>
    <row r="60" spans="1:19" ht="16">
      <c r="A60" s="19">
        <v>9</v>
      </c>
      <c r="B60" s="20">
        <v>46330</v>
      </c>
      <c r="C60" s="19" t="s">
        <v>80</v>
      </c>
      <c r="D60" s="21" t="s">
        <v>96</v>
      </c>
      <c r="E60" s="22">
        <v>0</v>
      </c>
      <c r="F60" s="21" t="s">
        <v>69</v>
      </c>
      <c r="G60" s="23">
        <v>0</v>
      </c>
      <c r="H60" s="21" t="s">
        <v>97</v>
      </c>
      <c r="I60" s="21" t="s">
        <v>69</v>
      </c>
      <c r="J60" s="21" t="s">
        <v>122</v>
      </c>
      <c r="K60" s="21" t="s">
        <v>149</v>
      </c>
      <c r="L60" s="21" t="s">
        <v>69</v>
      </c>
      <c r="M60" s="21" t="s">
        <v>72</v>
      </c>
      <c r="N60" s="21" t="s">
        <v>69</v>
      </c>
      <c r="O60" s="24" t="s">
        <v>73</v>
      </c>
      <c r="P60" s="24"/>
      <c r="Q60" s="24"/>
      <c r="R60" s="24"/>
      <c r="S60" s="24"/>
    </row>
    <row r="61" spans="1:19" ht="16">
      <c r="A61" s="24">
        <v>9</v>
      </c>
      <c r="B61" s="25">
        <v>46331</v>
      </c>
      <c r="C61" s="24" t="s">
        <v>86</v>
      </c>
      <c r="D61" s="26" t="s">
        <v>234</v>
      </c>
      <c r="E61" s="27">
        <v>4</v>
      </c>
      <c r="F61" s="26" t="s">
        <v>76</v>
      </c>
      <c r="G61" s="28">
        <v>25.2</v>
      </c>
      <c r="H61" s="26" t="s">
        <v>235</v>
      </c>
      <c r="I61" s="26" t="s">
        <v>236</v>
      </c>
      <c r="J61" s="26" t="s">
        <v>237</v>
      </c>
      <c r="K61" s="26" t="s">
        <v>226</v>
      </c>
      <c r="L61" s="26" t="s">
        <v>69</v>
      </c>
      <c r="M61" s="26" t="s">
        <v>85</v>
      </c>
      <c r="N61" s="26" t="s">
        <v>238</v>
      </c>
      <c r="O61" s="24" t="s">
        <v>73</v>
      </c>
      <c r="P61" s="24"/>
      <c r="Q61" s="24"/>
      <c r="R61" s="24"/>
      <c r="S61" s="24"/>
    </row>
    <row r="62" spans="1:19" ht="16">
      <c r="A62" s="19">
        <v>9</v>
      </c>
      <c r="B62" s="20">
        <v>46332</v>
      </c>
      <c r="C62" s="19" t="s">
        <v>90</v>
      </c>
      <c r="D62" s="21" t="s">
        <v>96</v>
      </c>
      <c r="E62" s="22">
        <v>0</v>
      </c>
      <c r="F62" s="21" t="s">
        <v>69</v>
      </c>
      <c r="G62" s="23">
        <v>0</v>
      </c>
      <c r="H62" s="21" t="s">
        <v>97</v>
      </c>
      <c r="I62" s="21" t="s">
        <v>69</v>
      </c>
      <c r="J62" s="21" t="s">
        <v>122</v>
      </c>
      <c r="K62" s="21" t="s">
        <v>69</v>
      </c>
      <c r="L62" s="21" t="s">
        <v>69</v>
      </c>
      <c r="M62" s="21" t="s">
        <v>239</v>
      </c>
      <c r="N62" s="21" t="s">
        <v>240</v>
      </c>
      <c r="O62" s="24" t="s">
        <v>73</v>
      </c>
      <c r="P62" s="24"/>
      <c r="Q62" s="24"/>
      <c r="R62" s="24"/>
      <c r="S62" s="24"/>
    </row>
    <row r="63" spans="1:19" ht="16">
      <c r="A63" s="24">
        <v>9</v>
      </c>
      <c r="B63" s="25">
        <v>46333</v>
      </c>
      <c r="C63" s="24" t="s">
        <v>95</v>
      </c>
      <c r="D63" s="26" t="s">
        <v>241</v>
      </c>
      <c r="E63" s="27">
        <v>3</v>
      </c>
      <c r="F63" s="26" t="s">
        <v>92</v>
      </c>
      <c r="G63" s="28">
        <v>19.799999999999997</v>
      </c>
      <c r="H63" s="26" t="s">
        <v>242</v>
      </c>
      <c r="I63" s="26" t="s">
        <v>69</v>
      </c>
      <c r="J63" s="26" t="s">
        <v>243</v>
      </c>
      <c r="K63" s="26" t="s">
        <v>69</v>
      </c>
      <c r="L63" s="26" t="s">
        <v>69</v>
      </c>
      <c r="M63" s="26" t="s">
        <v>244</v>
      </c>
      <c r="N63" s="26" t="s">
        <v>245</v>
      </c>
      <c r="O63" s="24" t="s">
        <v>73</v>
      </c>
      <c r="P63" s="24"/>
      <c r="Q63" s="24"/>
      <c r="R63" s="24"/>
      <c r="S63" s="24"/>
    </row>
    <row r="64" spans="1:19" ht="48">
      <c r="A64" s="34">
        <v>9</v>
      </c>
      <c r="B64" s="35">
        <v>46334</v>
      </c>
      <c r="C64" s="34" t="s">
        <v>100</v>
      </c>
      <c r="D64" s="36" t="s">
        <v>246</v>
      </c>
      <c r="E64" s="37">
        <v>42.195</v>
      </c>
      <c r="F64" s="38" t="s">
        <v>187</v>
      </c>
      <c r="G64" s="39">
        <v>263.71875</v>
      </c>
      <c r="H64" s="38" t="s">
        <v>247</v>
      </c>
      <c r="I64" s="38" t="s">
        <v>248</v>
      </c>
      <c r="J64" s="38" t="s">
        <v>249</v>
      </c>
      <c r="K64" s="38" t="s">
        <v>250</v>
      </c>
      <c r="L64" s="38" t="s">
        <v>69</v>
      </c>
      <c r="M64" s="38" t="s">
        <v>251</v>
      </c>
      <c r="N64" s="38" t="s">
        <v>252</v>
      </c>
      <c r="O64" s="34" t="s">
        <v>73</v>
      </c>
      <c r="P64" s="34"/>
      <c r="Q64" s="34"/>
      <c r="R64" s="34"/>
      <c r="S64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selection activeCell="B5" sqref="B5:D11"/>
    </sheetView>
  </sheetViews>
  <sheetFormatPr baseColWidth="10" defaultColWidth="8.83203125" defaultRowHeight="15"/>
  <cols>
    <col min="1" max="1" width="20" customWidth="1"/>
    <col min="2" max="2" width="28" customWidth="1"/>
    <col min="3" max="3" width="15" customWidth="1"/>
    <col min="4" max="5" width="32" customWidth="1"/>
    <col min="6" max="6" width="38" customWidth="1"/>
  </cols>
  <sheetData>
    <row r="1" spans="1:6">
      <c r="A1" s="17" t="s">
        <v>253</v>
      </c>
      <c r="B1" s="17"/>
      <c r="C1" s="17"/>
      <c r="D1" s="17"/>
      <c r="E1" s="17"/>
      <c r="F1" s="17"/>
    </row>
    <row r="2" spans="1:6">
      <c r="A2" s="17"/>
      <c r="B2" s="17"/>
      <c r="C2" s="17"/>
      <c r="D2" s="17"/>
      <c r="E2" s="17"/>
      <c r="F2" s="17"/>
    </row>
    <row r="4" spans="1:6" ht="16">
      <c r="A4" s="2" t="s">
        <v>254</v>
      </c>
      <c r="B4" s="2" t="s">
        <v>255</v>
      </c>
      <c r="C4" s="2" t="s">
        <v>55</v>
      </c>
      <c r="D4" s="2" t="s">
        <v>256</v>
      </c>
      <c r="E4" s="2" t="s">
        <v>257</v>
      </c>
      <c r="F4" s="2" t="s">
        <v>258</v>
      </c>
    </row>
    <row r="5" spans="1:6" ht="16">
      <c r="A5" s="3" t="s">
        <v>91</v>
      </c>
      <c r="B5" s="3" t="s">
        <v>92</v>
      </c>
      <c r="C5" s="3" t="s">
        <v>259</v>
      </c>
      <c r="D5" s="3" t="s">
        <v>260</v>
      </c>
      <c r="E5" s="3" t="s">
        <v>261</v>
      </c>
      <c r="F5" s="3" t="s">
        <v>262</v>
      </c>
    </row>
    <row r="6" spans="1:6" ht="16">
      <c r="A6" s="3" t="s">
        <v>151</v>
      </c>
      <c r="B6" s="3" t="s">
        <v>76</v>
      </c>
      <c r="C6" s="3" t="s">
        <v>263</v>
      </c>
      <c r="D6" s="3" t="s">
        <v>264</v>
      </c>
      <c r="E6" s="3" t="s">
        <v>265</v>
      </c>
      <c r="F6" s="3" t="s">
        <v>266</v>
      </c>
    </row>
    <row r="7" spans="1:6" ht="16">
      <c r="A7" s="3" t="s">
        <v>267</v>
      </c>
      <c r="B7" s="3" t="s">
        <v>102</v>
      </c>
      <c r="C7" s="3" t="s">
        <v>268</v>
      </c>
      <c r="D7" s="3" t="s">
        <v>269</v>
      </c>
      <c r="E7" s="3" t="s">
        <v>270</v>
      </c>
      <c r="F7" s="3" t="s">
        <v>271</v>
      </c>
    </row>
    <row r="8" spans="1:6" ht="16">
      <c r="A8" s="3" t="s">
        <v>206</v>
      </c>
      <c r="B8" s="3" t="s">
        <v>187</v>
      </c>
      <c r="C8" s="3" t="s">
        <v>272</v>
      </c>
      <c r="D8" s="3" t="s">
        <v>273</v>
      </c>
      <c r="E8" s="3" t="s">
        <v>274</v>
      </c>
      <c r="F8" s="3" t="s">
        <v>275</v>
      </c>
    </row>
    <row r="9" spans="1:6" ht="16">
      <c r="A9" s="3" t="s">
        <v>276</v>
      </c>
      <c r="B9" s="3" t="s">
        <v>110</v>
      </c>
      <c r="C9" s="3" t="s">
        <v>277</v>
      </c>
      <c r="D9" s="3" t="s">
        <v>278</v>
      </c>
      <c r="E9" s="3" t="s">
        <v>279</v>
      </c>
      <c r="F9" s="3" t="s">
        <v>280</v>
      </c>
    </row>
    <row r="10" spans="1:6" ht="16">
      <c r="A10" s="3" t="s">
        <v>281</v>
      </c>
      <c r="B10" s="3" t="s">
        <v>282</v>
      </c>
      <c r="C10" s="3" t="s">
        <v>283</v>
      </c>
      <c r="D10" s="3" t="s">
        <v>284</v>
      </c>
      <c r="E10" s="3" t="s">
        <v>285</v>
      </c>
      <c r="F10" s="3" t="s">
        <v>286</v>
      </c>
    </row>
    <row r="13" spans="1:6" ht="16">
      <c r="A13" s="2" t="s">
        <v>287</v>
      </c>
      <c r="B13" s="2" t="s">
        <v>288</v>
      </c>
      <c r="C13" s="2"/>
      <c r="D13" s="2"/>
      <c r="E13" s="2"/>
      <c r="F13" s="2"/>
    </row>
    <row r="14" spans="1:6" ht="16">
      <c r="A14" s="3" t="s">
        <v>289</v>
      </c>
      <c r="B14" s="11" t="s">
        <v>290</v>
      </c>
      <c r="C14" s="11"/>
      <c r="D14" s="11"/>
      <c r="E14" s="11"/>
      <c r="F14" s="11"/>
    </row>
    <row r="15" spans="1:6" ht="16">
      <c r="A15" s="3" t="s">
        <v>291</v>
      </c>
      <c r="B15" s="11" t="s">
        <v>292</v>
      </c>
      <c r="C15" s="11"/>
      <c r="D15" s="11"/>
      <c r="E15" s="11"/>
      <c r="F15" s="11"/>
    </row>
    <row r="16" spans="1:6" ht="16">
      <c r="A16" s="3" t="s">
        <v>281</v>
      </c>
      <c r="B16" s="11" t="s">
        <v>293</v>
      </c>
      <c r="C16" s="11"/>
      <c r="D16" s="11"/>
      <c r="E16" s="11"/>
      <c r="F16" s="11"/>
    </row>
    <row r="17" spans="1:6" ht="16">
      <c r="A17" s="3" t="s">
        <v>294</v>
      </c>
      <c r="B17" s="11" t="s">
        <v>295</v>
      </c>
      <c r="C17" s="11"/>
      <c r="D17" s="11"/>
      <c r="E17" s="11"/>
      <c r="F17" s="11"/>
    </row>
    <row r="18" spans="1:6" ht="16">
      <c r="A18" s="3" t="s">
        <v>296</v>
      </c>
      <c r="B18" s="11" t="s">
        <v>297</v>
      </c>
      <c r="C18" s="11"/>
      <c r="D18" s="11"/>
      <c r="E18" s="11"/>
      <c r="F18" s="11"/>
    </row>
  </sheetData>
  <mergeCells count="6">
    <mergeCell ref="B18:F18"/>
    <mergeCell ref="A1:F2"/>
    <mergeCell ref="B14:F14"/>
    <mergeCell ref="B15:F15"/>
    <mergeCell ref="B16:F16"/>
    <mergeCell ref="B17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sqref="A1:G2"/>
    </sheetView>
  </sheetViews>
  <sheetFormatPr baseColWidth="10" defaultColWidth="8.83203125" defaultRowHeight="15"/>
  <cols>
    <col min="1" max="1" width="12" customWidth="1"/>
    <col min="2" max="2" width="30" customWidth="1"/>
    <col min="3" max="3" width="10" customWidth="1"/>
    <col min="4" max="4" width="14" customWidth="1"/>
    <col min="5" max="5" width="10" customWidth="1"/>
    <col min="6" max="6" width="15" customWidth="1"/>
    <col min="7" max="7" width="44" customWidth="1"/>
  </cols>
  <sheetData>
    <row r="1" spans="1:7">
      <c r="A1" s="17" t="s">
        <v>298</v>
      </c>
      <c r="B1" s="17"/>
      <c r="C1" s="17"/>
      <c r="D1" s="17"/>
      <c r="E1" s="17"/>
      <c r="F1" s="17"/>
      <c r="G1" s="17"/>
    </row>
    <row r="2" spans="1:7">
      <c r="A2" s="17"/>
      <c r="B2" s="17"/>
      <c r="C2" s="17"/>
      <c r="D2" s="17"/>
      <c r="E2" s="17"/>
      <c r="F2" s="17"/>
      <c r="G2" s="17"/>
    </row>
    <row r="4" spans="1:7" ht="16">
      <c r="A4" s="2" t="s">
        <v>299</v>
      </c>
      <c r="B4" s="2" t="s">
        <v>300</v>
      </c>
      <c r="C4" s="2" t="s">
        <v>301</v>
      </c>
      <c r="D4" s="2" t="s">
        <v>302</v>
      </c>
      <c r="E4" s="2" t="s">
        <v>303</v>
      </c>
      <c r="F4" s="2" t="s">
        <v>96</v>
      </c>
      <c r="G4" s="2" t="s">
        <v>304</v>
      </c>
    </row>
    <row r="5" spans="1:7" ht="16">
      <c r="A5" s="3" t="s">
        <v>305</v>
      </c>
      <c r="B5" s="3" t="s">
        <v>306</v>
      </c>
      <c r="C5" s="3">
        <v>3</v>
      </c>
      <c r="D5" s="3" t="s">
        <v>307</v>
      </c>
      <c r="E5" s="3" t="s">
        <v>259</v>
      </c>
      <c r="F5" s="3" t="s">
        <v>308</v>
      </c>
      <c r="G5" s="3" t="s">
        <v>309</v>
      </c>
    </row>
    <row r="6" spans="1:7" ht="16">
      <c r="A6" s="3" t="s">
        <v>305</v>
      </c>
      <c r="B6" s="3" t="s">
        <v>310</v>
      </c>
      <c r="C6" s="3">
        <v>3</v>
      </c>
      <c r="D6" s="3" t="s">
        <v>311</v>
      </c>
      <c r="E6" s="3" t="s">
        <v>259</v>
      </c>
      <c r="F6" s="3" t="s">
        <v>312</v>
      </c>
      <c r="G6" s="3" t="s">
        <v>313</v>
      </c>
    </row>
    <row r="7" spans="1:7" ht="16">
      <c r="A7" s="3" t="s">
        <v>305</v>
      </c>
      <c r="B7" s="3" t="s">
        <v>314</v>
      </c>
      <c r="C7" s="3">
        <v>2</v>
      </c>
      <c r="D7" s="3" t="s">
        <v>315</v>
      </c>
      <c r="E7" s="3" t="s">
        <v>259</v>
      </c>
      <c r="F7" s="3" t="s">
        <v>316</v>
      </c>
      <c r="G7" s="3" t="s">
        <v>317</v>
      </c>
    </row>
    <row r="8" spans="1:7" ht="16">
      <c r="A8" s="3" t="s">
        <v>305</v>
      </c>
      <c r="B8" s="3" t="s">
        <v>318</v>
      </c>
      <c r="C8" s="3">
        <v>3</v>
      </c>
      <c r="D8" s="3" t="s">
        <v>319</v>
      </c>
      <c r="E8" s="3" t="s">
        <v>259</v>
      </c>
      <c r="F8" s="3" t="s">
        <v>320</v>
      </c>
      <c r="G8" s="3" t="s">
        <v>321</v>
      </c>
    </row>
    <row r="9" spans="1:7" ht="16">
      <c r="A9" s="3" t="s">
        <v>305</v>
      </c>
      <c r="B9" s="3" t="s">
        <v>322</v>
      </c>
      <c r="C9" s="3">
        <v>3</v>
      </c>
      <c r="D9" s="3" t="s">
        <v>323</v>
      </c>
      <c r="E9" s="3" t="s">
        <v>69</v>
      </c>
      <c r="F9" s="3" t="s">
        <v>324</v>
      </c>
      <c r="G9" s="3" t="s">
        <v>325</v>
      </c>
    </row>
    <row r="10" spans="1:7" ht="16">
      <c r="A10" s="3" t="s">
        <v>326</v>
      </c>
      <c r="B10" s="3" t="s">
        <v>327</v>
      </c>
      <c r="C10" s="3">
        <v>2</v>
      </c>
      <c r="D10" s="3" t="s">
        <v>315</v>
      </c>
      <c r="E10" s="3" t="s">
        <v>259</v>
      </c>
      <c r="F10" s="3" t="s">
        <v>316</v>
      </c>
      <c r="G10" s="3" t="s">
        <v>328</v>
      </c>
    </row>
    <row r="11" spans="1:7" ht="16">
      <c r="A11" s="3" t="s">
        <v>326</v>
      </c>
      <c r="B11" s="3" t="s">
        <v>329</v>
      </c>
      <c r="C11" s="3">
        <v>3</v>
      </c>
      <c r="D11" s="3" t="s">
        <v>330</v>
      </c>
      <c r="E11" s="3" t="s">
        <v>259</v>
      </c>
      <c r="F11" s="3" t="s">
        <v>312</v>
      </c>
      <c r="G11" s="3" t="s">
        <v>331</v>
      </c>
    </row>
    <row r="12" spans="1:7" ht="16">
      <c r="A12" s="3" t="s">
        <v>326</v>
      </c>
      <c r="B12" s="3" t="s">
        <v>332</v>
      </c>
      <c r="C12" s="3">
        <v>2</v>
      </c>
      <c r="D12" s="3" t="s">
        <v>315</v>
      </c>
      <c r="E12" s="3" t="s">
        <v>263</v>
      </c>
      <c r="F12" s="3" t="s">
        <v>316</v>
      </c>
      <c r="G12" s="3" t="s">
        <v>333</v>
      </c>
    </row>
    <row r="13" spans="1:7" ht="16">
      <c r="A13" s="3" t="s">
        <v>326</v>
      </c>
      <c r="B13" s="3" t="s">
        <v>334</v>
      </c>
      <c r="C13" s="3">
        <v>3</v>
      </c>
      <c r="D13" s="3" t="s">
        <v>319</v>
      </c>
      <c r="E13" s="3" t="s">
        <v>259</v>
      </c>
      <c r="F13" s="3" t="s">
        <v>320</v>
      </c>
      <c r="G13" s="3" t="s">
        <v>335</v>
      </c>
    </row>
    <row r="14" spans="1:7" ht="16">
      <c r="A14" s="3" t="s">
        <v>326</v>
      </c>
      <c r="B14" s="3" t="s">
        <v>336</v>
      </c>
      <c r="C14" s="3">
        <v>3</v>
      </c>
      <c r="D14" s="3" t="s">
        <v>337</v>
      </c>
      <c r="E14" s="3" t="s">
        <v>69</v>
      </c>
      <c r="F14" s="3" t="s">
        <v>324</v>
      </c>
      <c r="G14" s="3" t="s">
        <v>338</v>
      </c>
    </row>
    <row r="15" spans="1:7" ht="16">
      <c r="A15" s="3" t="s">
        <v>339</v>
      </c>
      <c r="B15" s="3" t="s">
        <v>340</v>
      </c>
      <c r="C15" s="3">
        <v>2</v>
      </c>
      <c r="D15" s="3" t="s">
        <v>311</v>
      </c>
      <c r="E15" s="3" t="s">
        <v>268</v>
      </c>
      <c r="F15" s="3" t="s">
        <v>316</v>
      </c>
      <c r="G15" s="3" t="s">
        <v>341</v>
      </c>
    </row>
    <row r="16" spans="1:7" ht="16">
      <c r="A16" s="3" t="s">
        <v>339</v>
      </c>
      <c r="B16" s="3" t="s">
        <v>310</v>
      </c>
      <c r="C16" s="3">
        <v>2</v>
      </c>
      <c r="D16" s="3" t="s">
        <v>311</v>
      </c>
      <c r="E16" s="3" t="s">
        <v>268</v>
      </c>
      <c r="F16" s="3" t="s">
        <v>316</v>
      </c>
      <c r="G16" s="3" t="s">
        <v>342</v>
      </c>
    </row>
    <row r="17" spans="1:7" ht="16">
      <c r="A17" s="3" t="s">
        <v>339</v>
      </c>
      <c r="B17" s="3" t="s">
        <v>343</v>
      </c>
      <c r="C17" s="3">
        <v>2</v>
      </c>
      <c r="D17" s="3" t="s">
        <v>344</v>
      </c>
      <c r="E17" s="3" t="s">
        <v>268</v>
      </c>
      <c r="F17" s="3" t="s">
        <v>320</v>
      </c>
      <c r="G17" s="3" t="s">
        <v>345</v>
      </c>
    </row>
    <row r="18" spans="1:7" ht="16">
      <c r="A18" s="3" t="s">
        <v>339</v>
      </c>
      <c r="B18" s="3" t="s">
        <v>346</v>
      </c>
      <c r="C18" s="3">
        <v>2</v>
      </c>
      <c r="D18" s="3" t="s">
        <v>347</v>
      </c>
      <c r="E18" s="3" t="s">
        <v>263</v>
      </c>
      <c r="F18" s="3" t="s">
        <v>320</v>
      </c>
      <c r="G18" s="3" t="s">
        <v>190</v>
      </c>
    </row>
    <row r="19" spans="1:7" ht="16">
      <c r="A19" s="3" t="s">
        <v>339</v>
      </c>
      <c r="B19" s="3" t="s">
        <v>348</v>
      </c>
      <c r="C19" s="3">
        <v>2</v>
      </c>
      <c r="D19" s="3" t="s">
        <v>349</v>
      </c>
      <c r="E19" s="3" t="s">
        <v>69</v>
      </c>
      <c r="F19" s="3" t="s">
        <v>324</v>
      </c>
      <c r="G19" s="3" t="s">
        <v>350</v>
      </c>
    </row>
    <row r="22" spans="1:7">
      <c r="A22" s="12" t="s">
        <v>351</v>
      </c>
      <c r="B22" s="12"/>
      <c r="C22" s="12"/>
      <c r="D22" s="12"/>
      <c r="E22" s="12"/>
      <c r="F22" s="12"/>
      <c r="G22" s="12"/>
    </row>
    <row r="23" spans="1:7" ht="16">
      <c r="A23" s="3" t="s">
        <v>352</v>
      </c>
      <c r="B23" s="11" t="s">
        <v>353</v>
      </c>
      <c r="C23" s="11"/>
      <c r="D23" s="11"/>
      <c r="E23" s="11"/>
      <c r="F23" s="11"/>
      <c r="G23" s="11"/>
    </row>
    <row r="24" spans="1:7" ht="16">
      <c r="A24" s="3" t="s">
        <v>354</v>
      </c>
      <c r="B24" s="11" t="s">
        <v>355</v>
      </c>
      <c r="C24" s="11"/>
      <c r="D24" s="11"/>
      <c r="E24" s="11"/>
      <c r="F24" s="11"/>
      <c r="G24" s="11"/>
    </row>
    <row r="25" spans="1:7" ht="16">
      <c r="A25" s="3" t="s">
        <v>263</v>
      </c>
      <c r="B25" s="11" t="s">
        <v>356</v>
      </c>
      <c r="C25" s="11"/>
      <c r="D25" s="11"/>
      <c r="E25" s="11"/>
      <c r="F25" s="11"/>
      <c r="G25" s="11"/>
    </row>
    <row r="26" spans="1:7" ht="16">
      <c r="A26" s="3" t="s">
        <v>357</v>
      </c>
      <c r="B26" s="11" t="s">
        <v>358</v>
      </c>
      <c r="C26" s="11"/>
      <c r="D26" s="11"/>
      <c r="E26" s="11"/>
      <c r="F26" s="11"/>
      <c r="G26" s="11"/>
    </row>
    <row r="27" spans="1:7" ht="16">
      <c r="A27" s="3" t="s">
        <v>359</v>
      </c>
      <c r="B27" s="11" t="s">
        <v>360</v>
      </c>
      <c r="C27" s="11"/>
      <c r="D27" s="11"/>
      <c r="E27" s="11"/>
      <c r="F27" s="11"/>
      <c r="G27" s="11"/>
    </row>
    <row r="28" spans="1:7" ht="16">
      <c r="A28" s="3" t="s">
        <v>277</v>
      </c>
      <c r="B28" s="11" t="s">
        <v>361</v>
      </c>
      <c r="C28" s="11"/>
      <c r="D28" s="11"/>
      <c r="E28" s="11"/>
      <c r="F28" s="11"/>
      <c r="G28" s="11"/>
    </row>
  </sheetData>
  <mergeCells count="8">
    <mergeCell ref="B26:G26"/>
    <mergeCell ref="B27:G27"/>
    <mergeCell ref="B28:G28"/>
    <mergeCell ref="A1:G2"/>
    <mergeCell ref="A22:G22"/>
    <mergeCell ref="B23:G23"/>
    <mergeCell ref="B24:G24"/>
    <mergeCell ref="B25:G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Plan diario</vt:lpstr>
      <vt:lpstr>Guía de ritmos</vt:lpstr>
      <vt:lpstr>Gimnasio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Hugo Aguayo Mendoza</cp:lastModifiedBy>
  <dcterms:created xsi:type="dcterms:W3CDTF">2026-09-08T04:56:19Z</dcterms:created>
  <dcterms:modified xsi:type="dcterms:W3CDTF">2026-09-08T04:56:19Z</dcterms:modified>
</cp:coreProperties>
</file>